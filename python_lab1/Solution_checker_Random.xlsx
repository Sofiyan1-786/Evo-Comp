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TSPA" sheetId="1" state="visible" r:id="rId1"/>
    <sheet xmlns:r="http://schemas.openxmlformats.org/officeDocument/2006/relationships" name="TSP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color theme="1"/>
      <sz val="11"/>
      <scheme val="minor"/>
    </font>
    <font>
      <name val="Arial Unicode MS"/>
      <charset val="238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B3" sqref="B3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2944</v>
      </c>
      <c r="C3" t="n">
        <v>497</v>
      </c>
      <c r="D3" t="n">
        <v>1607</v>
      </c>
      <c r="F3" t="n">
        <v>91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3409</v>
      </c>
      <c r="C4" t="n">
        <v>1305</v>
      </c>
      <c r="D4" t="n">
        <v>225</v>
      </c>
      <c r="F4" t="n">
        <v>173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964</v>
      </c>
      <c r="C5" t="n">
        <v>186</v>
      </c>
      <c r="D5" t="n">
        <v>387</v>
      </c>
      <c r="F5" t="n">
        <v>123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3363</v>
      </c>
      <c r="C6" t="n">
        <v>1136</v>
      </c>
      <c r="D6" t="n">
        <v>327</v>
      </c>
      <c r="F6" t="n">
        <v>23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1234</v>
      </c>
      <c r="C7" t="n">
        <v>1436</v>
      </c>
      <c r="D7" t="n">
        <v>864</v>
      </c>
      <c r="F7" t="n">
        <v>118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1773</v>
      </c>
      <c r="C8" t="n">
        <v>1797</v>
      </c>
      <c r="D8" t="n">
        <v>1188</v>
      </c>
      <c r="F8" t="n">
        <v>1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3837</v>
      </c>
      <c r="C9" t="n">
        <v>1462</v>
      </c>
      <c r="D9" t="n">
        <v>1598</v>
      </c>
      <c r="F9" t="n">
        <v>179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194</v>
      </c>
      <c r="C10" t="n">
        <v>1930</v>
      </c>
      <c r="D10" t="n">
        <v>1402</v>
      </c>
      <c r="F10" t="n">
        <v>67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2792</v>
      </c>
      <c r="C11" t="n">
        <v>1058</v>
      </c>
      <c r="D11" t="n">
        <v>873</v>
      </c>
      <c r="F11" t="n">
        <v>2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2552</v>
      </c>
      <c r="C12" t="n">
        <v>1127</v>
      </c>
      <c r="D12" t="n">
        <v>383</v>
      </c>
      <c r="F12" t="n">
        <v>120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1323</v>
      </c>
      <c r="C13" t="n">
        <v>205</v>
      </c>
      <c r="D13" t="n">
        <v>1181</v>
      </c>
      <c r="F13" t="n">
        <v>97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230</v>
      </c>
      <c r="C14" t="n">
        <v>1080</v>
      </c>
      <c r="D14" t="n">
        <v>1059</v>
      </c>
      <c r="F14" t="n">
        <v>107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707</v>
      </c>
      <c r="C15" t="n">
        <v>875</v>
      </c>
      <c r="D15" t="n">
        <v>1765</v>
      </c>
      <c r="F15" t="n">
        <v>105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2682</v>
      </c>
      <c r="C16" t="n">
        <v>459</v>
      </c>
      <c r="D16" t="n">
        <v>1670</v>
      </c>
      <c r="F16" t="n">
        <v>58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776</v>
      </c>
      <c r="C17" t="n">
        <v>1311</v>
      </c>
      <c r="D17" t="n">
        <v>1756</v>
      </c>
      <c r="F17" t="n">
        <v>24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2442</v>
      </c>
      <c r="C18" t="n">
        <v>1511</v>
      </c>
      <c r="D18" t="n">
        <v>1505</v>
      </c>
      <c r="F18" t="n">
        <v>89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1681</v>
      </c>
      <c r="C19" t="n">
        <v>1194</v>
      </c>
      <c r="D19" t="n">
        <v>416</v>
      </c>
      <c r="F19" t="n">
        <v>26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3613</v>
      </c>
      <c r="C20" t="n">
        <v>1868</v>
      </c>
      <c r="D20" t="n">
        <v>1224</v>
      </c>
      <c r="F20" t="n">
        <v>35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1504</v>
      </c>
      <c r="C21" t="n">
        <v>1517</v>
      </c>
      <c r="D21" t="n">
        <v>1650</v>
      </c>
      <c r="F21" t="n">
        <v>56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3369</v>
      </c>
      <c r="C22" t="n">
        <v>1928</v>
      </c>
      <c r="D22" t="n">
        <v>1420</v>
      </c>
      <c r="F22" t="n">
        <v>99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2508</v>
      </c>
      <c r="C23" t="n">
        <v>208</v>
      </c>
      <c r="D23" t="n">
        <v>1389</v>
      </c>
      <c r="F23" t="n">
        <v>78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3926</v>
      </c>
      <c r="C24" t="n">
        <v>1484</v>
      </c>
      <c r="D24" t="n">
        <v>1337</v>
      </c>
      <c r="F24" t="n">
        <v>140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1584</v>
      </c>
      <c r="C25" t="n">
        <v>62</v>
      </c>
      <c r="D25" t="n">
        <v>1560</v>
      </c>
      <c r="F25" t="n">
        <v>9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1019</v>
      </c>
      <c r="C26" t="n">
        <v>755</v>
      </c>
      <c r="D26" t="n">
        <v>1815</v>
      </c>
      <c r="F26" t="n">
        <v>151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3125</v>
      </c>
      <c r="C27" t="n">
        <v>1858</v>
      </c>
      <c r="D27" t="n">
        <v>1312</v>
      </c>
      <c r="F27" t="n">
        <v>22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1713</v>
      </c>
      <c r="C28" t="n">
        <v>67</v>
      </c>
      <c r="D28" t="n">
        <v>1051</v>
      </c>
      <c r="F28" t="n">
        <v>177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3959</v>
      </c>
      <c r="C29" t="n">
        <v>162</v>
      </c>
      <c r="D29" t="n">
        <v>1320</v>
      </c>
      <c r="F29" t="n">
        <v>156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1447</v>
      </c>
      <c r="C30" t="n">
        <v>402</v>
      </c>
      <c r="D30" t="n">
        <v>1405</v>
      </c>
      <c r="F30" t="n">
        <v>57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1415</v>
      </c>
      <c r="C31" t="n">
        <v>796</v>
      </c>
      <c r="D31" t="n">
        <v>741</v>
      </c>
      <c r="F31" t="n">
        <v>52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3485</v>
      </c>
      <c r="C32" t="n">
        <v>1936</v>
      </c>
      <c r="D32" t="n">
        <v>494</v>
      </c>
      <c r="F32" t="n">
        <v>142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972</v>
      </c>
      <c r="C33" t="n">
        <v>623</v>
      </c>
      <c r="D33" t="n">
        <v>347</v>
      </c>
      <c r="F33" t="n">
        <v>166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96</v>
      </c>
      <c r="C34" t="n">
        <v>1879</v>
      </c>
      <c r="D34" t="n">
        <v>634</v>
      </c>
      <c r="F34" t="n">
        <v>15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882</v>
      </c>
      <c r="C35" t="n">
        <v>152</v>
      </c>
      <c r="D35" t="n">
        <v>1627</v>
      </c>
      <c r="F35" t="n">
        <v>195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2374</v>
      </c>
      <c r="C36" t="n">
        <v>1143</v>
      </c>
      <c r="D36" t="n">
        <v>248</v>
      </c>
      <c r="F36" t="n">
        <v>68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2595</v>
      </c>
      <c r="C37" t="n">
        <v>1621</v>
      </c>
      <c r="D37" t="n">
        <v>1527</v>
      </c>
      <c r="F37" t="n">
        <v>62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1583</v>
      </c>
      <c r="C38" t="n">
        <v>966</v>
      </c>
      <c r="D38" t="n">
        <v>382</v>
      </c>
      <c r="F38" t="n">
        <v>79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2271</v>
      </c>
      <c r="C39" t="n">
        <v>897</v>
      </c>
      <c r="D39" t="n">
        <v>98</v>
      </c>
      <c r="F39" t="n">
        <v>160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3912</v>
      </c>
      <c r="C40" t="n">
        <v>1039</v>
      </c>
      <c r="D40" t="n">
        <v>1051</v>
      </c>
      <c r="F40" t="n">
        <v>47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836</v>
      </c>
      <c r="C41" t="n">
        <v>1491</v>
      </c>
      <c r="D41" t="n">
        <v>961</v>
      </c>
      <c r="F41" t="n">
        <v>88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2283</v>
      </c>
      <c r="C42" t="n">
        <v>1976</v>
      </c>
      <c r="D42" t="n">
        <v>903</v>
      </c>
      <c r="F42" t="n">
        <v>42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996</v>
      </c>
      <c r="C43" t="n">
        <v>459</v>
      </c>
      <c r="D43" t="n">
        <v>1813</v>
      </c>
      <c r="F43" t="n">
        <v>51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2111</v>
      </c>
      <c r="C44" t="n">
        <v>626</v>
      </c>
      <c r="D44" t="n">
        <v>1056</v>
      </c>
      <c r="F44" t="n">
        <v>48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3225</v>
      </c>
      <c r="C45" t="n">
        <v>458</v>
      </c>
      <c r="D45" t="n">
        <v>870</v>
      </c>
      <c r="F45" t="n">
        <v>13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3260</v>
      </c>
      <c r="C46" t="n">
        <v>647</v>
      </c>
      <c r="D46" t="n">
        <v>1098</v>
      </c>
      <c r="F46" t="n">
        <v>84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844</v>
      </c>
      <c r="C47" t="n">
        <v>1215</v>
      </c>
      <c r="D47" t="n">
        <v>1659</v>
      </c>
      <c r="F47" t="n">
        <v>85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1791</v>
      </c>
      <c r="C48" t="n">
        <v>607</v>
      </c>
      <c r="D48" t="n">
        <v>491</v>
      </c>
      <c r="F48" t="n">
        <v>103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3685</v>
      </c>
      <c r="C49" t="n">
        <v>1569</v>
      </c>
      <c r="D49" t="n">
        <v>1465</v>
      </c>
      <c r="F49" t="n">
        <v>6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3770</v>
      </c>
      <c r="C50" t="n">
        <v>992</v>
      </c>
      <c r="D50" t="n">
        <v>291</v>
      </c>
      <c r="F50" t="n">
        <v>73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250</v>
      </c>
      <c r="C51" t="n">
        <v>1923</v>
      </c>
      <c r="D51" t="n">
        <v>219</v>
      </c>
      <c r="F51" t="n">
        <v>76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338</v>
      </c>
      <c r="C52" t="n">
        <v>1084</v>
      </c>
      <c r="D52" t="n">
        <v>573</v>
      </c>
      <c r="F52" t="n">
        <v>190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3424</v>
      </c>
      <c r="C53" t="n">
        <v>1115</v>
      </c>
      <c r="D53" t="n">
        <v>186</v>
      </c>
      <c r="F53" t="n">
        <v>50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1655</v>
      </c>
      <c r="C54" t="n">
        <v>1218</v>
      </c>
      <c r="D54" t="n">
        <v>196</v>
      </c>
      <c r="F54" t="n">
        <v>134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2068</v>
      </c>
      <c r="C55" t="n">
        <v>997</v>
      </c>
      <c r="D55" t="n">
        <v>570</v>
      </c>
      <c r="F55" t="n">
        <v>25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2025</v>
      </c>
      <c r="C56" t="n">
        <v>800</v>
      </c>
      <c r="D56" t="n">
        <v>403</v>
      </c>
      <c r="F56" t="n">
        <v>28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2552</v>
      </c>
      <c r="C57" t="n">
        <v>1090</v>
      </c>
      <c r="D57" t="n">
        <v>583</v>
      </c>
      <c r="F57" t="n">
        <v>144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3766</v>
      </c>
      <c r="C58" t="n">
        <v>1871</v>
      </c>
      <c r="D58" t="n">
        <v>887</v>
      </c>
      <c r="F58" t="n">
        <v>189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3061</v>
      </c>
      <c r="C59" t="n">
        <v>1633</v>
      </c>
      <c r="D59" t="n">
        <v>1762</v>
      </c>
      <c r="F59" t="n">
        <v>102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3223</v>
      </c>
      <c r="C60" t="n">
        <v>52</v>
      </c>
      <c r="D60" t="n">
        <v>126</v>
      </c>
      <c r="F60" t="n">
        <v>69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2363</v>
      </c>
      <c r="C61" t="n">
        <v>384</v>
      </c>
      <c r="D61" t="n">
        <v>223</v>
      </c>
      <c r="F61" t="n">
        <v>7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3460</v>
      </c>
      <c r="C62" t="n">
        <v>1403</v>
      </c>
      <c r="D62" t="n">
        <v>1152</v>
      </c>
      <c r="F62" t="n">
        <v>37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221</v>
      </c>
      <c r="C63" t="n">
        <v>1306</v>
      </c>
      <c r="D63" t="n">
        <v>533</v>
      </c>
      <c r="F63" t="n">
        <v>159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2021</v>
      </c>
      <c r="C64" t="n">
        <v>517</v>
      </c>
      <c r="D64" t="n">
        <v>1224</v>
      </c>
      <c r="F64" t="n">
        <v>65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2361</v>
      </c>
      <c r="C65" t="n">
        <v>1504</v>
      </c>
      <c r="D65" t="n">
        <v>927</v>
      </c>
      <c r="F65" t="n">
        <v>147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123</v>
      </c>
      <c r="C66" t="n">
        <v>1087</v>
      </c>
      <c r="D66" t="n">
        <v>27</v>
      </c>
      <c r="F66" t="n">
        <v>163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3502</v>
      </c>
      <c r="C67" t="n">
        <v>45</v>
      </c>
      <c r="D67" t="n">
        <v>859</v>
      </c>
      <c r="F67" t="n">
        <v>155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2710</v>
      </c>
      <c r="C68" t="n">
        <v>409</v>
      </c>
      <c r="D68" t="n">
        <v>1286</v>
      </c>
      <c r="F68" t="n">
        <v>4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531</v>
      </c>
      <c r="C69" t="n">
        <v>1421</v>
      </c>
      <c r="D69" t="n">
        <v>1554</v>
      </c>
      <c r="F69" t="n">
        <v>11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1835</v>
      </c>
      <c r="C70" t="n">
        <v>936</v>
      </c>
      <c r="D70" t="n">
        <v>29</v>
      </c>
      <c r="F70" t="n">
        <v>192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906</v>
      </c>
      <c r="C71" t="n">
        <v>1133</v>
      </c>
      <c r="D71" t="n">
        <v>1965</v>
      </c>
      <c r="F71" t="n">
        <v>168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301</v>
      </c>
      <c r="C72" t="n">
        <v>232</v>
      </c>
      <c r="D72" t="n">
        <v>724</v>
      </c>
      <c r="F72" t="n">
        <v>82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1556</v>
      </c>
      <c r="C73" t="n">
        <v>385</v>
      </c>
      <c r="D73" t="n">
        <v>1602</v>
      </c>
      <c r="F73" t="n">
        <v>172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1159</v>
      </c>
      <c r="C74" t="n">
        <v>1642</v>
      </c>
      <c r="D74" t="n">
        <v>739</v>
      </c>
      <c r="F74" t="n">
        <v>3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2785</v>
      </c>
      <c r="C75" t="n">
        <v>614</v>
      </c>
      <c r="D75" t="n">
        <v>1018</v>
      </c>
      <c r="F75" t="n">
        <v>135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1972</v>
      </c>
      <c r="C76" t="n">
        <v>519</v>
      </c>
      <c r="D76" t="n">
        <v>781</v>
      </c>
      <c r="F76" t="n">
        <v>39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2135</v>
      </c>
      <c r="C77" t="n">
        <v>1108</v>
      </c>
      <c r="D77" t="n">
        <v>1975</v>
      </c>
      <c r="F77" t="n">
        <v>41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3872</v>
      </c>
      <c r="C78" t="n">
        <v>238</v>
      </c>
      <c r="D78" t="n">
        <v>1160</v>
      </c>
      <c r="F78" t="n">
        <v>145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1111</v>
      </c>
      <c r="C79" t="n">
        <v>1310</v>
      </c>
      <c r="D79" t="n">
        <v>426</v>
      </c>
      <c r="F79" t="n">
        <v>104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11</v>
      </c>
      <c r="C80" t="n">
        <v>1807</v>
      </c>
      <c r="D80" t="n">
        <v>1394</v>
      </c>
      <c r="F80" t="n">
        <v>161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3902</v>
      </c>
      <c r="C81" t="n">
        <v>40</v>
      </c>
      <c r="D81" t="n">
        <v>667</v>
      </c>
      <c r="F81" t="n">
        <v>181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3483</v>
      </c>
      <c r="C82" t="n">
        <v>1935</v>
      </c>
      <c r="D82" t="n">
        <v>1943</v>
      </c>
      <c r="F82" t="n">
        <v>19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610</v>
      </c>
      <c r="C83" t="n">
        <v>1612</v>
      </c>
      <c r="D83" t="n">
        <v>21</v>
      </c>
      <c r="F83" t="n">
        <v>17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3165</v>
      </c>
      <c r="C84" t="n">
        <v>892</v>
      </c>
      <c r="D84" t="n">
        <v>1172</v>
      </c>
      <c r="F84" t="n">
        <v>36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216</v>
      </c>
      <c r="C85" t="n">
        <v>1323</v>
      </c>
      <c r="D85" t="n">
        <v>1287</v>
      </c>
      <c r="F85" t="n">
        <v>162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742</v>
      </c>
      <c r="C86" t="n">
        <v>1027</v>
      </c>
      <c r="D86" t="n">
        <v>997</v>
      </c>
      <c r="F86" t="n">
        <v>164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2388</v>
      </c>
      <c r="C87" t="n">
        <v>534</v>
      </c>
      <c r="D87" t="n">
        <v>477</v>
      </c>
      <c r="F87" t="n">
        <v>174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3111</v>
      </c>
      <c r="C88" t="n">
        <v>1089</v>
      </c>
      <c r="D88" t="n">
        <v>838</v>
      </c>
      <c r="F88" t="n">
        <v>54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3686</v>
      </c>
      <c r="C89" t="n">
        <v>1732</v>
      </c>
      <c r="D89" t="n">
        <v>1833</v>
      </c>
      <c r="F89" t="n">
        <v>175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1455</v>
      </c>
      <c r="C90" t="n">
        <v>575</v>
      </c>
      <c r="D90" t="n">
        <v>407</v>
      </c>
      <c r="F90" t="n">
        <v>117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3762</v>
      </c>
      <c r="C91" t="n">
        <v>95</v>
      </c>
      <c r="D91" t="n">
        <v>765</v>
      </c>
      <c r="F91" t="n">
        <v>131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3267</v>
      </c>
      <c r="C92" t="n">
        <v>467</v>
      </c>
      <c r="D92" t="n">
        <v>240</v>
      </c>
      <c r="F92" t="n">
        <v>31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847</v>
      </c>
      <c r="C93" t="n">
        <v>1077</v>
      </c>
      <c r="D93" t="n">
        <v>958</v>
      </c>
      <c r="F93" t="n">
        <v>95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875</v>
      </c>
      <c r="C94" t="n">
        <v>1693</v>
      </c>
      <c r="D94" t="n">
        <v>582</v>
      </c>
      <c r="F94" t="n">
        <v>92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739</v>
      </c>
      <c r="C95" t="n">
        <v>187</v>
      </c>
      <c r="D95" t="n">
        <v>1116</v>
      </c>
      <c r="F95" t="n">
        <v>187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3388</v>
      </c>
      <c r="C96" t="n">
        <v>894</v>
      </c>
      <c r="D96" t="n">
        <v>138</v>
      </c>
      <c r="F96" t="n">
        <v>184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295</v>
      </c>
      <c r="C97" t="n">
        <v>208</v>
      </c>
      <c r="D97" t="n">
        <v>1568</v>
      </c>
      <c r="F97" t="n">
        <v>139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345</v>
      </c>
      <c r="C98" t="n">
        <v>539</v>
      </c>
      <c r="D98" t="n">
        <v>1085</v>
      </c>
      <c r="F98" t="n">
        <v>186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1431</v>
      </c>
      <c r="C99" t="n">
        <v>387</v>
      </c>
      <c r="D99" t="n">
        <v>1490</v>
      </c>
      <c r="F99" t="n">
        <v>108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392</v>
      </c>
      <c r="C100" t="n">
        <v>551</v>
      </c>
      <c r="D100" t="n">
        <v>196</v>
      </c>
      <c r="F100" t="n">
        <v>167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1598</v>
      </c>
      <c r="C101" t="n">
        <v>306</v>
      </c>
      <c r="D101" t="n">
        <v>887</v>
      </c>
      <c r="F101" t="n">
        <v>106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2339</v>
      </c>
      <c r="C102" t="n">
        <v>774</v>
      </c>
      <c r="D102" t="n">
        <v>1088</v>
      </c>
      <c r="F102" t="n">
        <v>49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759</v>
      </c>
      <c r="C103" t="n">
        <v>1191</v>
      </c>
      <c r="D103" t="n">
        <v>949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3605</v>
      </c>
      <c r="C104" t="n">
        <v>1717</v>
      </c>
      <c r="D104" t="n">
        <v>844</v>
      </c>
    </row>
    <row r="105">
      <c r="A105" t="n">
        <v>102</v>
      </c>
      <c r="B105" t="n">
        <v>1531</v>
      </c>
      <c r="C105" t="n">
        <v>764</v>
      </c>
      <c r="D105" t="n">
        <v>1003</v>
      </c>
    </row>
    <row r="106">
      <c r="A106" t="n">
        <v>103</v>
      </c>
      <c r="B106" t="n">
        <v>3361</v>
      </c>
      <c r="C106" t="n">
        <v>440</v>
      </c>
      <c r="D106" t="n">
        <v>1341</v>
      </c>
    </row>
    <row r="107">
      <c r="A107" t="n">
        <v>104</v>
      </c>
      <c r="B107" t="n">
        <v>64</v>
      </c>
      <c r="C107" t="n">
        <v>29</v>
      </c>
      <c r="D107" t="n">
        <v>721</v>
      </c>
    </row>
    <row r="108">
      <c r="A108" t="n">
        <v>105</v>
      </c>
      <c r="B108" t="n">
        <v>3107</v>
      </c>
      <c r="C108" t="n">
        <v>145</v>
      </c>
      <c r="D108" t="n">
        <v>1905</v>
      </c>
    </row>
    <row r="109">
      <c r="A109" t="n">
        <v>106</v>
      </c>
      <c r="B109" t="n">
        <v>3185</v>
      </c>
      <c r="C109" t="n">
        <v>609</v>
      </c>
      <c r="D109" t="n">
        <v>144</v>
      </c>
    </row>
    <row r="110">
      <c r="A110" t="n">
        <v>107</v>
      </c>
      <c r="B110" t="n">
        <v>3618</v>
      </c>
      <c r="C110" t="n">
        <v>295</v>
      </c>
      <c r="D110" t="n">
        <v>4</v>
      </c>
    </row>
    <row r="111">
      <c r="A111" t="n">
        <v>108</v>
      </c>
      <c r="B111" t="n">
        <v>429</v>
      </c>
      <c r="C111" t="n">
        <v>1287</v>
      </c>
      <c r="D111" t="n">
        <v>678</v>
      </c>
    </row>
    <row r="112">
      <c r="A112" t="n">
        <v>109</v>
      </c>
      <c r="B112" t="n">
        <v>2749</v>
      </c>
      <c r="C112" t="n">
        <v>1572</v>
      </c>
      <c r="D112" t="n">
        <v>1851</v>
      </c>
    </row>
    <row r="113">
      <c r="A113" t="n">
        <v>110</v>
      </c>
      <c r="B113" t="n">
        <v>368</v>
      </c>
      <c r="C113" t="n">
        <v>147</v>
      </c>
      <c r="D113" t="n">
        <v>1538</v>
      </c>
    </row>
    <row r="114">
      <c r="A114" t="n">
        <v>111</v>
      </c>
      <c r="B114" t="n">
        <v>2789</v>
      </c>
      <c r="C114" t="n">
        <v>61</v>
      </c>
      <c r="D114" t="n">
        <v>1031</v>
      </c>
    </row>
    <row r="115">
      <c r="A115" t="n">
        <v>112</v>
      </c>
      <c r="B115" t="n">
        <v>1747</v>
      </c>
      <c r="C115" t="n">
        <v>1662</v>
      </c>
      <c r="D115" t="n">
        <v>782</v>
      </c>
    </row>
    <row r="116">
      <c r="A116" t="n">
        <v>113</v>
      </c>
      <c r="B116" t="n">
        <v>3349</v>
      </c>
      <c r="C116" t="n">
        <v>556</v>
      </c>
      <c r="D116" t="n">
        <v>916</v>
      </c>
    </row>
    <row r="117">
      <c r="A117" t="n">
        <v>114</v>
      </c>
      <c r="B117" t="n">
        <v>1891</v>
      </c>
      <c r="C117" t="n">
        <v>14</v>
      </c>
      <c r="D117" t="n">
        <v>500</v>
      </c>
    </row>
    <row r="118">
      <c r="A118" t="n">
        <v>115</v>
      </c>
      <c r="B118" t="n">
        <v>1744</v>
      </c>
      <c r="C118" t="n">
        <v>1909</v>
      </c>
      <c r="D118" t="n">
        <v>750</v>
      </c>
    </row>
    <row r="119">
      <c r="A119" t="n">
        <v>116</v>
      </c>
      <c r="B119" t="n">
        <v>17</v>
      </c>
      <c r="C119" t="n">
        <v>1161</v>
      </c>
      <c r="D119" t="n">
        <v>539</v>
      </c>
    </row>
    <row r="120">
      <c r="A120" t="n">
        <v>117</v>
      </c>
      <c r="B120" t="n">
        <v>3492</v>
      </c>
      <c r="C120" t="n">
        <v>675</v>
      </c>
      <c r="D120" t="n">
        <v>1638</v>
      </c>
    </row>
    <row r="121">
      <c r="A121" t="n">
        <v>118</v>
      </c>
      <c r="B121" t="n">
        <v>2074</v>
      </c>
      <c r="C121" t="n">
        <v>41</v>
      </c>
      <c r="D121" t="n">
        <v>1997</v>
      </c>
    </row>
    <row r="122">
      <c r="A122" t="n">
        <v>119</v>
      </c>
      <c r="B122" t="n">
        <v>126</v>
      </c>
      <c r="C122" t="n">
        <v>987</v>
      </c>
      <c r="D122" t="n">
        <v>1192</v>
      </c>
    </row>
    <row r="123">
      <c r="A123" t="n">
        <v>120</v>
      </c>
      <c r="B123" t="n">
        <v>522</v>
      </c>
      <c r="C123" t="n">
        <v>381</v>
      </c>
      <c r="D123" t="n">
        <v>1577</v>
      </c>
    </row>
    <row r="124">
      <c r="A124" t="n">
        <v>121</v>
      </c>
      <c r="B124" t="n">
        <v>1918</v>
      </c>
      <c r="C124" t="n">
        <v>398</v>
      </c>
      <c r="D124" t="n">
        <v>1531</v>
      </c>
    </row>
    <row r="125">
      <c r="A125" t="n">
        <v>122</v>
      </c>
      <c r="B125" t="n">
        <v>3745</v>
      </c>
      <c r="C125" t="n">
        <v>114</v>
      </c>
      <c r="D125" t="n">
        <v>1703</v>
      </c>
    </row>
    <row r="126">
      <c r="A126" t="n">
        <v>123</v>
      </c>
      <c r="B126" t="n">
        <v>731</v>
      </c>
      <c r="C126" t="n">
        <v>1061</v>
      </c>
      <c r="D126" t="n">
        <v>226</v>
      </c>
    </row>
    <row r="127">
      <c r="A127" t="n">
        <v>124</v>
      </c>
      <c r="B127" t="n">
        <v>3331</v>
      </c>
      <c r="C127" t="n">
        <v>274</v>
      </c>
      <c r="D127" t="n">
        <v>1676</v>
      </c>
    </row>
    <row r="128">
      <c r="A128" t="n">
        <v>125</v>
      </c>
      <c r="B128" t="n">
        <v>755</v>
      </c>
      <c r="C128" t="n">
        <v>474</v>
      </c>
      <c r="D128" t="n">
        <v>1988</v>
      </c>
    </row>
    <row r="129">
      <c r="A129" t="n">
        <v>126</v>
      </c>
      <c r="B129" t="n">
        <v>453</v>
      </c>
      <c r="C129" t="n">
        <v>1911</v>
      </c>
      <c r="D129" t="n">
        <v>1953</v>
      </c>
    </row>
    <row r="130">
      <c r="A130" t="n">
        <v>127</v>
      </c>
      <c r="B130" t="n">
        <v>386</v>
      </c>
      <c r="C130" t="n">
        <v>492</v>
      </c>
      <c r="D130" t="n">
        <v>592</v>
      </c>
    </row>
    <row r="131">
      <c r="A131" t="n">
        <v>128</v>
      </c>
      <c r="B131" t="n">
        <v>3205</v>
      </c>
      <c r="C131" t="n">
        <v>1157</v>
      </c>
      <c r="D131" t="n">
        <v>1754</v>
      </c>
    </row>
    <row r="132">
      <c r="A132" t="n">
        <v>129</v>
      </c>
      <c r="B132" t="n">
        <v>65</v>
      </c>
      <c r="C132" t="n">
        <v>86</v>
      </c>
      <c r="D132" t="n">
        <v>758</v>
      </c>
    </row>
    <row r="133">
      <c r="A133" t="n">
        <v>130</v>
      </c>
      <c r="B133" t="n">
        <v>3690</v>
      </c>
      <c r="C133" t="n">
        <v>566</v>
      </c>
      <c r="D133" t="n">
        <v>386</v>
      </c>
    </row>
    <row r="134">
      <c r="A134" t="n">
        <v>131</v>
      </c>
      <c r="B134" t="n">
        <v>2389</v>
      </c>
      <c r="C134" t="n">
        <v>852</v>
      </c>
      <c r="D134" t="n">
        <v>636</v>
      </c>
    </row>
    <row r="135">
      <c r="A135" t="n">
        <v>132</v>
      </c>
      <c r="B135" t="n">
        <v>1043</v>
      </c>
      <c r="C135" t="n">
        <v>1231</v>
      </c>
      <c r="D135" t="n">
        <v>71</v>
      </c>
    </row>
    <row r="136">
      <c r="A136" t="n">
        <v>133</v>
      </c>
      <c r="B136" t="n">
        <v>1692</v>
      </c>
      <c r="C136" t="n">
        <v>1351</v>
      </c>
      <c r="D136" t="n">
        <v>1422</v>
      </c>
    </row>
    <row r="137">
      <c r="A137" t="n">
        <v>134</v>
      </c>
      <c r="B137" t="n">
        <v>2589</v>
      </c>
      <c r="C137" t="n">
        <v>522</v>
      </c>
      <c r="D137" t="n">
        <v>236</v>
      </c>
    </row>
    <row r="138">
      <c r="A138" t="n">
        <v>135</v>
      </c>
      <c r="B138" t="n">
        <v>1997</v>
      </c>
      <c r="C138" t="n">
        <v>394</v>
      </c>
      <c r="D138" t="n">
        <v>110</v>
      </c>
    </row>
    <row r="139">
      <c r="A139" t="n">
        <v>136</v>
      </c>
      <c r="B139" t="n">
        <v>2931</v>
      </c>
      <c r="C139" t="n">
        <v>1880</v>
      </c>
      <c r="D139" t="n">
        <v>497</v>
      </c>
    </row>
    <row r="140">
      <c r="A140" t="n">
        <v>137</v>
      </c>
      <c r="B140" t="n">
        <v>644</v>
      </c>
      <c r="C140" t="n">
        <v>1775</v>
      </c>
      <c r="D140" t="n">
        <v>1785</v>
      </c>
    </row>
    <row r="141">
      <c r="A141" t="n">
        <v>138</v>
      </c>
      <c r="B141" t="n">
        <v>2871</v>
      </c>
      <c r="C141" t="n">
        <v>270</v>
      </c>
      <c r="D141" t="n">
        <v>985</v>
      </c>
    </row>
    <row r="142">
      <c r="A142" t="n">
        <v>139</v>
      </c>
      <c r="B142" t="n">
        <v>1721</v>
      </c>
      <c r="C142" t="n">
        <v>1565</v>
      </c>
      <c r="D142" t="n">
        <v>857</v>
      </c>
    </row>
    <row r="143">
      <c r="A143" t="n">
        <v>140</v>
      </c>
      <c r="B143" t="n">
        <v>2005</v>
      </c>
      <c r="C143" t="n">
        <v>717</v>
      </c>
      <c r="D143" t="n">
        <v>598</v>
      </c>
    </row>
    <row r="144">
      <c r="A144" t="n">
        <v>141</v>
      </c>
      <c r="B144" t="n">
        <v>1225</v>
      </c>
      <c r="C144" t="n">
        <v>597</v>
      </c>
      <c r="D144" t="n">
        <v>61</v>
      </c>
    </row>
    <row r="145">
      <c r="A145" t="n">
        <v>142</v>
      </c>
      <c r="B145" t="n">
        <v>2973</v>
      </c>
      <c r="C145" t="n">
        <v>1161</v>
      </c>
      <c r="D145" t="n">
        <v>1029</v>
      </c>
    </row>
    <row r="146">
      <c r="A146" t="n">
        <v>143</v>
      </c>
      <c r="B146" t="n">
        <v>2271</v>
      </c>
      <c r="C146" t="n">
        <v>1294</v>
      </c>
      <c r="D146" t="n">
        <v>921</v>
      </c>
    </row>
    <row r="147">
      <c r="A147" t="n">
        <v>144</v>
      </c>
      <c r="B147" t="n">
        <v>1926</v>
      </c>
      <c r="C147" t="n">
        <v>908</v>
      </c>
      <c r="D147" t="n">
        <v>335</v>
      </c>
    </row>
    <row r="148">
      <c r="A148" t="n">
        <v>145</v>
      </c>
      <c r="B148" t="n">
        <v>1193</v>
      </c>
      <c r="C148" t="n">
        <v>644</v>
      </c>
      <c r="D148" t="n">
        <v>1486</v>
      </c>
    </row>
    <row r="149">
      <c r="A149" t="n">
        <v>146</v>
      </c>
      <c r="B149" t="n">
        <v>3889</v>
      </c>
      <c r="C149" t="n">
        <v>409</v>
      </c>
      <c r="D149" t="n">
        <v>889</v>
      </c>
    </row>
    <row r="150">
      <c r="A150" t="n">
        <v>147</v>
      </c>
      <c r="B150" t="n">
        <v>3936</v>
      </c>
      <c r="C150" t="n">
        <v>1304</v>
      </c>
      <c r="D150" t="n">
        <v>536</v>
      </c>
    </row>
    <row r="151">
      <c r="A151" t="n">
        <v>148</v>
      </c>
      <c r="B151" t="n">
        <v>826</v>
      </c>
      <c r="C151" t="n">
        <v>991</v>
      </c>
      <c r="D151" t="n">
        <v>1363</v>
      </c>
    </row>
    <row r="152">
      <c r="A152" t="n">
        <v>149</v>
      </c>
      <c r="B152" t="n">
        <v>90</v>
      </c>
      <c r="C152" t="n">
        <v>1139</v>
      </c>
      <c r="D152" t="n">
        <v>124</v>
      </c>
    </row>
    <row r="153">
      <c r="A153" t="n">
        <v>150</v>
      </c>
      <c r="B153" t="n">
        <v>3070</v>
      </c>
      <c r="C153" t="n">
        <v>590</v>
      </c>
      <c r="D153" t="n">
        <v>628</v>
      </c>
    </row>
    <row r="154">
      <c r="A154" t="n">
        <v>151</v>
      </c>
      <c r="B154" t="n">
        <v>3062</v>
      </c>
      <c r="C154" t="n">
        <v>433</v>
      </c>
      <c r="D154" t="n">
        <v>621</v>
      </c>
    </row>
    <row r="155">
      <c r="A155" t="n">
        <v>152</v>
      </c>
      <c r="B155" t="n">
        <v>546</v>
      </c>
      <c r="C155" t="n">
        <v>1229</v>
      </c>
      <c r="D155" t="n">
        <v>446</v>
      </c>
    </row>
    <row r="156">
      <c r="A156" t="n">
        <v>153</v>
      </c>
      <c r="B156" t="n">
        <v>3858</v>
      </c>
      <c r="C156" t="n">
        <v>135</v>
      </c>
      <c r="D156" t="n">
        <v>665</v>
      </c>
    </row>
    <row r="157">
      <c r="A157" t="n">
        <v>154</v>
      </c>
      <c r="B157" t="n">
        <v>2408</v>
      </c>
      <c r="C157" t="n">
        <v>1892</v>
      </c>
      <c r="D157" t="n">
        <v>1051</v>
      </c>
    </row>
    <row r="158">
      <c r="A158" t="n">
        <v>155</v>
      </c>
      <c r="B158" t="n">
        <v>3713</v>
      </c>
      <c r="C158" t="n">
        <v>1520</v>
      </c>
      <c r="D158" t="n">
        <v>1747</v>
      </c>
    </row>
    <row r="159">
      <c r="A159" t="n">
        <v>156</v>
      </c>
      <c r="B159" t="n">
        <v>1526</v>
      </c>
      <c r="C159" t="n">
        <v>964</v>
      </c>
      <c r="D159" t="n">
        <v>985</v>
      </c>
    </row>
    <row r="160">
      <c r="A160" t="n">
        <v>157</v>
      </c>
      <c r="B160" t="n">
        <v>1145</v>
      </c>
      <c r="C160" t="n">
        <v>1735</v>
      </c>
      <c r="D160" t="n">
        <v>360</v>
      </c>
    </row>
    <row r="161">
      <c r="A161" t="n">
        <v>158</v>
      </c>
      <c r="B161" t="n">
        <v>2586</v>
      </c>
      <c r="C161" t="n">
        <v>205</v>
      </c>
      <c r="D161" t="n">
        <v>567</v>
      </c>
    </row>
    <row r="162">
      <c r="A162" t="n">
        <v>159</v>
      </c>
      <c r="B162" t="n">
        <v>3878</v>
      </c>
      <c r="C162" t="n">
        <v>505</v>
      </c>
      <c r="D162" t="n">
        <v>291</v>
      </c>
    </row>
    <row r="163">
      <c r="A163" t="n">
        <v>160</v>
      </c>
      <c r="B163" t="n">
        <v>692</v>
      </c>
      <c r="C163" t="n">
        <v>972</v>
      </c>
      <c r="D163" t="n">
        <v>909</v>
      </c>
    </row>
    <row r="164">
      <c r="A164" t="n">
        <v>161</v>
      </c>
      <c r="B164" t="n">
        <v>758</v>
      </c>
      <c r="C164" t="n">
        <v>497</v>
      </c>
      <c r="D164" t="n">
        <v>914</v>
      </c>
    </row>
    <row r="165">
      <c r="A165" t="n">
        <v>162</v>
      </c>
      <c r="B165" t="n">
        <v>985</v>
      </c>
      <c r="C165" t="n">
        <v>1022</v>
      </c>
      <c r="D165" t="n">
        <v>1250</v>
      </c>
    </row>
    <row r="166">
      <c r="A166" t="n">
        <v>163</v>
      </c>
      <c r="B166" t="n">
        <v>3218</v>
      </c>
      <c r="C166" t="n">
        <v>1949</v>
      </c>
      <c r="D166" t="n">
        <v>1049</v>
      </c>
    </row>
    <row r="167">
      <c r="A167" t="n">
        <v>164</v>
      </c>
      <c r="B167" t="n">
        <v>2985</v>
      </c>
      <c r="C167" t="n">
        <v>1374</v>
      </c>
      <c r="D167" t="n">
        <v>37</v>
      </c>
    </row>
    <row r="168">
      <c r="A168" t="n">
        <v>165</v>
      </c>
      <c r="B168" t="n">
        <v>2976</v>
      </c>
      <c r="C168" t="n">
        <v>276</v>
      </c>
      <c r="D168" t="n">
        <v>1887</v>
      </c>
    </row>
    <row r="169">
      <c r="A169" t="n">
        <v>166</v>
      </c>
      <c r="B169" t="n">
        <v>1116</v>
      </c>
      <c r="C169" t="n">
        <v>212</v>
      </c>
      <c r="D169" t="n">
        <v>1785</v>
      </c>
    </row>
    <row r="170">
      <c r="A170" t="n">
        <v>167</v>
      </c>
      <c r="B170" t="n">
        <v>246</v>
      </c>
      <c r="C170" t="n">
        <v>1201</v>
      </c>
      <c r="D170" t="n">
        <v>1939</v>
      </c>
    </row>
    <row r="171">
      <c r="A171" t="n">
        <v>168</v>
      </c>
      <c r="B171" t="n">
        <v>48</v>
      </c>
      <c r="C171" t="n">
        <v>904</v>
      </c>
      <c r="D171" t="n">
        <v>346</v>
      </c>
    </row>
    <row r="172">
      <c r="A172" t="n">
        <v>169</v>
      </c>
      <c r="B172" t="n">
        <v>3419</v>
      </c>
      <c r="C172" t="n">
        <v>1246</v>
      </c>
      <c r="D172" t="n">
        <v>998</v>
      </c>
    </row>
    <row r="173">
      <c r="A173" t="n">
        <v>170</v>
      </c>
      <c r="B173" t="n">
        <v>3896</v>
      </c>
      <c r="C173" t="n">
        <v>396</v>
      </c>
      <c r="D173" t="n">
        <v>872</v>
      </c>
    </row>
    <row r="174">
      <c r="A174" t="n">
        <v>171</v>
      </c>
      <c r="B174" t="n">
        <v>901</v>
      </c>
      <c r="C174" t="n">
        <v>170</v>
      </c>
      <c r="D174" t="n">
        <v>497</v>
      </c>
    </row>
    <row r="175">
      <c r="A175" t="n">
        <v>172</v>
      </c>
      <c r="B175" t="n">
        <v>1522</v>
      </c>
      <c r="C175" t="n">
        <v>1013</v>
      </c>
      <c r="D175" t="n">
        <v>1737</v>
      </c>
    </row>
    <row r="176">
      <c r="A176" t="n">
        <v>173</v>
      </c>
      <c r="B176" t="n">
        <v>1571</v>
      </c>
      <c r="C176" t="n">
        <v>1301</v>
      </c>
      <c r="D176" t="n">
        <v>1808</v>
      </c>
    </row>
    <row r="177">
      <c r="A177" t="n">
        <v>174</v>
      </c>
      <c r="B177" t="n">
        <v>2870</v>
      </c>
      <c r="C177" t="n">
        <v>835</v>
      </c>
      <c r="D177" t="n">
        <v>221</v>
      </c>
    </row>
    <row r="178">
      <c r="A178" t="n">
        <v>175</v>
      </c>
      <c r="B178" t="n">
        <v>1929</v>
      </c>
      <c r="C178" t="n">
        <v>1950</v>
      </c>
      <c r="D178" t="n">
        <v>1160</v>
      </c>
    </row>
    <row r="179">
      <c r="A179" t="n">
        <v>176</v>
      </c>
      <c r="B179" t="n">
        <v>2855</v>
      </c>
      <c r="C179" t="n">
        <v>647</v>
      </c>
      <c r="D179" t="n">
        <v>332</v>
      </c>
    </row>
    <row r="180">
      <c r="A180" t="n">
        <v>177</v>
      </c>
      <c r="B180" t="n">
        <v>2180</v>
      </c>
      <c r="C180" t="n">
        <v>887</v>
      </c>
      <c r="D180" t="n">
        <v>53</v>
      </c>
    </row>
    <row r="181">
      <c r="A181" t="n">
        <v>178</v>
      </c>
      <c r="B181" t="n">
        <v>3341</v>
      </c>
      <c r="C181" t="n">
        <v>1689</v>
      </c>
      <c r="D181" t="n">
        <v>346</v>
      </c>
    </row>
    <row r="182">
      <c r="A182" t="n">
        <v>179</v>
      </c>
      <c r="B182" t="n">
        <v>2071</v>
      </c>
      <c r="C182" t="n">
        <v>877</v>
      </c>
      <c r="D182" t="n">
        <v>723</v>
      </c>
    </row>
    <row r="183">
      <c r="A183" t="n">
        <v>180</v>
      </c>
      <c r="B183" t="n">
        <v>1293</v>
      </c>
      <c r="C183" t="n">
        <v>860</v>
      </c>
      <c r="D183" t="n">
        <v>0</v>
      </c>
    </row>
    <row r="184">
      <c r="A184" t="n">
        <v>181</v>
      </c>
      <c r="B184" t="n">
        <v>2142</v>
      </c>
      <c r="C184" t="n">
        <v>129</v>
      </c>
      <c r="D184" t="n">
        <v>724</v>
      </c>
    </row>
    <row r="185">
      <c r="A185" t="n">
        <v>182</v>
      </c>
      <c r="B185" t="n">
        <v>2998</v>
      </c>
      <c r="C185" t="n">
        <v>122</v>
      </c>
      <c r="D185" t="n">
        <v>698</v>
      </c>
    </row>
    <row r="186">
      <c r="A186" t="n">
        <v>183</v>
      </c>
      <c r="B186" t="n">
        <v>1199</v>
      </c>
      <c r="C186" t="n">
        <v>148</v>
      </c>
      <c r="D186" t="n">
        <v>1677</v>
      </c>
    </row>
    <row r="187">
      <c r="A187" t="n">
        <v>184</v>
      </c>
      <c r="B187" t="n">
        <v>3112</v>
      </c>
      <c r="C187" t="n">
        <v>1665</v>
      </c>
      <c r="D187" t="n">
        <v>941</v>
      </c>
    </row>
    <row r="188">
      <c r="A188" t="n">
        <v>185</v>
      </c>
      <c r="B188" t="n">
        <v>1654</v>
      </c>
      <c r="C188" t="n">
        <v>811</v>
      </c>
      <c r="D188" t="n">
        <v>675</v>
      </c>
    </row>
    <row r="189">
      <c r="A189" t="n">
        <v>186</v>
      </c>
      <c r="B189" t="n">
        <v>2780</v>
      </c>
      <c r="C189" t="n">
        <v>1723</v>
      </c>
      <c r="D189" t="n">
        <v>783</v>
      </c>
    </row>
    <row r="190">
      <c r="A190" t="n">
        <v>187</v>
      </c>
      <c r="B190" t="n">
        <v>1023</v>
      </c>
      <c r="C190" t="n">
        <v>466</v>
      </c>
      <c r="D190" t="n">
        <v>67</v>
      </c>
    </row>
    <row r="191">
      <c r="A191" t="n">
        <v>188</v>
      </c>
      <c r="B191" t="n">
        <v>147</v>
      </c>
      <c r="C191" t="n">
        <v>395</v>
      </c>
      <c r="D191" t="n">
        <v>1811</v>
      </c>
    </row>
    <row r="192">
      <c r="A192" t="n">
        <v>189</v>
      </c>
      <c r="B192" t="n">
        <v>1146</v>
      </c>
      <c r="C192" t="n">
        <v>337</v>
      </c>
      <c r="D192" t="n">
        <v>910</v>
      </c>
    </row>
    <row r="193">
      <c r="A193" t="n">
        <v>190</v>
      </c>
      <c r="B193" t="n">
        <v>1909</v>
      </c>
      <c r="C193" t="n">
        <v>1301</v>
      </c>
      <c r="D193" t="n">
        <v>1689</v>
      </c>
    </row>
    <row r="194">
      <c r="A194" t="n">
        <v>191</v>
      </c>
      <c r="B194" t="n">
        <v>1232</v>
      </c>
      <c r="C194" t="n">
        <v>789</v>
      </c>
      <c r="D194" t="n">
        <v>1896</v>
      </c>
    </row>
    <row r="195">
      <c r="A195" t="n">
        <v>192</v>
      </c>
      <c r="B195" t="n">
        <v>2474</v>
      </c>
      <c r="C195" t="n">
        <v>60</v>
      </c>
      <c r="D195" t="n">
        <v>667</v>
      </c>
    </row>
    <row r="196">
      <c r="A196" t="n">
        <v>193</v>
      </c>
      <c r="B196" t="n">
        <v>3881</v>
      </c>
      <c r="C196" t="n">
        <v>101</v>
      </c>
      <c r="D196" t="n">
        <v>854</v>
      </c>
    </row>
    <row r="197">
      <c r="A197" t="n">
        <v>194</v>
      </c>
      <c r="B197" t="n">
        <v>2787</v>
      </c>
      <c r="C197" t="n">
        <v>1060</v>
      </c>
      <c r="D197" t="n">
        <v>1168</v>
      </c>
    </row>
    <row r="198">
      <c r="A198" t="n">
        <v>195</v>
      </c>
      <c r="B198" t="n">
        <v>3013</v>
      </c>
      <c r="C198" t="n">
        <v>1739</v>
      </c>
      <c r="D198" t="n">
        <v>1973</v>
      </c>
    </row>
    <row r="199">
      <c r="A199" t="n">
        <v>196</v>
      </c>
      <c r="B199" t="n">
        <v>1519</v>
      </c>
      <c r="C199" t="n">
        <v>1315</v>
      </c>
      <c r="D199" t="n">
        <v>1347</v>
      </c>
    </row>
    <row r="200">
      <c r="A200" t="n">
        <v>197</v>
      </c>
      <c r="B200" t="n">
        <v>3068</v>
      </c>
      <c r="C200" t="n">
        <v>1985</v>
      </c>
      <c r="D200" t="n">
        <v>1868</v>
      </c>
    </row>
    <row r="201">
      <c r="A201" t="n">
        <v>198</v>
      </c>
      <c r="B201" t="n">
        <v>946</v>
      </c>
      <c r="C201" t="n">
        <v>293</v>
      </c>
      <c r="D201" t="n">
        <v>1976</v>
      </c>
    </row>
    <row r="202">
      <c r="A202" t="n">
        <v>199</v>
      </c>
      <c r="B202" t="n">
        <v>105</v>
      </c>
      <c r="C202" t="n">
        <v>1923</v>
      </c>
      <c r="D202" t="n">
        <v>1608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tabSelected="1" workbookViewId="0">
      <selection activeCell="B3" sqref="B3:D202"/>
    </sheetView>
  </sheetViews>
  <sheetFormatPr baseColWidth="8" defaultRowHeight="15"/>
  <sheetData>
    <row r="1" ht="45" customHeight="1" s="2">
      <c r="A1" t="inlineStr">
        <is>
          <t>Node id</t>
        </is>
      </c>
      <c r="B1" t="inlineStr">
        <is>
          <t>x</t>
        </is>
      </c>
      <c r="C1" t="inlineStr">
        <is>
          <t>y</t>
        </is>
      </c>
      <c r="D1" t="inlineStr">
        <is>
          <t>cost</t>
        </is>
      </c>
      <c r="F1" s="1" t="inlineStr">
        <is>
          <t>List of nodes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cost</t>
        </is>
      </c>
      <c r="J1" s="1" t="inlineStr">
        <is>
          <t>Edge length</t>
        </is>
      </c>
      <c r="K1" s="1" t="inlineStr">
        <is>
          <t>Objective function</t>
        </is>
      </c>
    </row>
    <row r="2">
      <c r="F2" s="1" t="n"/>
      <c r="I2" s="3">
        <f>SUM(I3:I102)</f>
        <v/>
      </c>
      <c r="J2" s="3">
        <f>SUM(J3:J102)</f>
        <v/>
      </c>
      <c r="K2" s="3">
        <f>I2+J2</f>
        <v/>
      </c>
    </row>
    <row r="3">
      <c r="A3" t="n">
        <v>0</v>
      </c>
      <c r="B3" t="n">
        <v>2353</v>
      </c>
      <c r="C3" t="n">
        <v>1294</v>
      </c>
      <c r="D3" t="n">
        <v>993</v>
      </c>
      <c r="F3" s="4" t="n">
        <v>199</v>
      </c>
      <c r="G3">
        <f>LOOKUP($F3,$A$3:$A$202,B$3:B$202)</f>
        <v/>
      </c>
      <c r="H3">
        <f>LOOKUP($F3,$A$3:$A$202,C$3:C$202)</f>
        <v/>
      </c>
      <c r="I3">
        <f>LOOKUP($F3,$A$3:$A$202,D$3:D$202)</f>
        <v/>
      </c>
      <c r="J3">
        <f>INT(SQRT((G3-G4)*(G3-G4)+(H3-H4)*(H3-H4)) +0.5)</f>
        <v/>
      </c>
    </row>
    <row r="4">
      <c r="A4" t="n">
        <v>1</v>
      </c>
      <c r="B4" t="n">
        <v>54</v>
      </c>
      <c r="C4" t="n">
        <v>235</v>
      </c>
      <c r="D4" t="n">
        <v>208</v>
      </c>
      <c r="F4" t="n">
        <v>159</v>
      </c>
      <c r="G4">
        <f>LOOKUP($F4,$A$3:$A$202,B$3:B$202)</f>
        <v/>
      </c>
      <c r="H4">
        <f>LOOKUP($F4,$A$3:$A$202,C$3:C$202)</f>
        <v/>
      </c>
      <c r="I4">
        <f>LOOKUP($F4,$A$3:$A$202,D$3:D$202)</f>
        <v/>
      </c>
      <c r="J4">
        <f>INT(SQRT((G4-G5)*(G4-G5)+(H4-H5)*(H4-H5)) +0.5)</f>
        <v/>
      </c>
    </row>
    <row r="5">
      <c r="A5" t="n">
        <v>2</v>
      </c>
      <c r="B5" t="n">
        <v>3506</v>
      </c>
      <c r="C5" t="n">
        <v>112</v>
      </c>
      <c r="D5" t="n">
        <v>126</v>
      </c>
      <c r="F5" t="n">
        <v>151</v>
      </c>
      <c r="G5">
        <f>LOOKUP($F5,$A$3:$A$202,B$3:B$202)</f>
        <v/>
      </c>
      <c r="H5">
        <f>LOOKUP($F5,$A$3:$A$202,C$3:C$202)</f>
        <v/>
      </c>
      <c r="I5">
        <f>LOOKUP($F5,$A$3:$A$202,D$3:D$202)</f>
        <v/>
      </c>
      <c r="J5">
        <f>INT(SQRT((G5-G6)*(G5-G6)+(H5-H6)*(H5-H6)) +0.5)</f>
        <v/>
      </c>
    </row>
    <row r="6">
      <c r="A6" t="n">
        <v>3</v>
      </c>
      <c r="B6" t="n">
        <v>2085</v>
      </c>
      <c r="C6" t="n">
        <v>1111</v>
      </c>
      <c r="D6" t="n">
        <v>399</v>
      </c>
      <c r="F6" t="n">
        <v>49</v>
      </c>
      <c r="G6">
        <f>LOOKUP($F6,$A$3:$A$202,B$3:B$202)</f>
        <v/>
      </c>
      <c r="H6">
        <f>LOOKUP($F6,$A$3:$A$202,C$3:C$202)</f>
        <v/>
      </c>
      <c r="I6">
        <f>LOOKUP($F6,$A$3:$A$202,D$3:D$202)</f>
        <v/>
      </c>
      <c r="J6">
        <f>INT(SQRT((G6-G7)*(G6-G7)+(H6-H7)*(H6-H7)) +0.5)</f>
        <v/>
      </c>
    </row>
    <row r="7">
      <c r="A7" t="n">
        <v>4</v>
      </c>
      <c r="B7" t="n">
        <v>1468</v>
      </c>
      <c r="C7" t="n">
        <v>899</v>
      </c>
      <c r="D7" t="n">
        <v>827</v>
      </c>
      <c r="F7" t="n">
        <v>155</v>
      </c>
      <c r="G7">
        <f>LOOKUP($F7,$A$3:$A$202,B$3:B$202)</f>
        <v/>
      </c>
      <c r="H7">
        <f>LOOKUP($F7,$A$3:$A$202,C$3:C$202)</f>
        <v/>
      </c>
      <c r="I7">
        <f>LOOKUP($F7,$A$3:$A$202,D$3:D$202)</f>
        <v/>
      </c>
      <c r="J7">
        <f>INT(SQRT((G7-G8)*(G7-G8)+(H7-H8)*(H7-H8)) +0.5)</f>
        <v/>
      </c>
    </row>
    <row r="8">
      <c r="A8" t="n">
        <v>5</v>
      </c>
      <c r="B8" t="n">
        <v>559</v>
      </c>
      <c r="C8" t="n">
        <v>520</v>
      </c>
      <c r="D8" t="n">
        <v>843</v>
      </c>
      <c r="F8" t="n">
        <v>134</v>
      </c>
      <c r="G8">
        <f>LOOKUP($F8,$A$3:$A$202,B$3:B$202)</f>
        <v/>
      </c>
      <c r="H8">
        <f>LOOKUP($F8,$A$3:$A$202,C$3:C$202)</f>
        <v/>
      </c>
      <c r="I8">
        <f>LOOKUP($F8,$A$3:$A$202,D$3:D$202)</f>
        <v/>
      </c>
      <c r="J8">
        <f>INT(SQRT((G8-G9)*(G8-G9)+(H8-H9)*(H8-H9)) +0.5)</f>
        <v/>
      </c>
    </row>
    <row r="9">
      <c r="A9" t="n">
        <v>6</v>
      </c>
      <c r="B9" t="n">
        <v>540</v>
      </c>
      <c r="C9" t="n">
        <v>578</v>
      </c>
      <c r="D9" t="n">
        <v>273</v>
      </c>
      <c r="F9" t="n">
        <v>186</v>
      </c>
      <c r="G9">
        <f>LOOKUP($F9,$A$3:$A$202,B$3:B$202)</f>
        <v/>
      </c>
      <c r="H9">
        <f>LOOKUP($F9,$A$3:$A$202,C$3:C$202)</f>
        <v/>
      </c>
      <c r="I9">
        <f>LOOKUP($F9,$A$3:$A$202,D$3:D$202)</f>
        <v/>
      </c>
      <c r="J9">
        <f>INT(SQRT((G9-G10)*(G9-G10)+(H9-H10)*(H9-H10)) +0.5)</f>
        <v/>
      </c>
    </row>
    <row r="10">
      <c r="A10" t="n">
        <v>7</v>
      </c>
      <c r="B10" t="n">
        <v>864</v>
      </c>
      <c r="C10" t="n">
        <v>1903</v>
      </c>
      <c r="D10" t="n">
        <v>937</v>
      </c>
      <c r="F10" t="n">
        <v>182</v>
      </c>
      <c r="G10">
        <f>LOOKUP($F10,$A$3:$A$202,B$3:B$202)</f>
        <v/>
      </c>
      <c r="H10">
        <f>LOOKUP($F10,$A$3:$A$202,C$3:C$202)</f>
        <v/>
      </c>
      <c r="I10">
        <f>LOOKUP($F10,$A$3:$A$202,D$3:D$202)</f>
        <v/>
      </c>
      <c r="J10">
        <f>INT(SQRT((G10-G11)*(G10-G11)+(H10-H11)*(H10-H11)) +0.5)</f>
        <v/>
      </c>
    </row>
    <row r="11">
      <c r="A11" t="n">
        <v>8</v>
      </c>
      <c r="B11" t="n">
        <v>1750</v>
      </c>
      <c r="C11" t="n">
        <v>1331</v>
      </c>
      <c r="D11" t="n">
        <v>548</v>
      </c>
      <c r="F11" t="n">
        <v>138</v>
      </c>
      <c r="G11">
        <f>LOOKUP($F11,$A$3:$A$202,B$3:B$202)</f>
        <v/>
      </c>
      <c r="H11">
        <f>LOOKUP($F11,$A$3:$A$202,C$3:C$202)</f>
        <v/>
      </c>
      <c r="I11">
        <f>LOOKUP($F11,$A$3:$A$202,D$3:D$202)</f>
        <v/>
      </c>
      <c r="J11">
        <f>INT(SQRT((G11-G12)*(G11-G12)+(H11-H12)*(H11-H12)) +0.5)</f>
        <v/>
      </c>
    </row>
    <row r="12">
      <c r="A12" t="n">
        <v>9</v>
      </c>
      <c r="B12" t="n">
        <v>3547</v>
      </c>
      <c r="C12" t="n">
        <v>82</v>
      </c>
      <c r="D12" t="n">
        <v>799</v>
      </c>
      <c r="F12" t="n">
        <v>180</v>
      </c>
      <c r="G12">
        <f>LOOKUP($F12,$A$3:$A$202,B$3:B$202)</f>
        <v/>
      </c>
      <c r="H12">
        <f>LOOKUP($F12,$A$3:$A$202,C$3:C$202)</f>
        <v/>
      </c>
      <c r="I12">
        <f>LOOKUP($F12,$A$3:$A$202,D$3:D$202)</f>
        <v/>
      </c>
      <c r="J12">
        <f>INT(SQRT((G12-G13)*(G12-G13)+(H12-H13)*(H12-H13)) +0.5)</f>
        <v/>
      </c>
    </row>
    <row r="13">
      <c r="A13" t="n">
        <v>10</v>
      </c>
      <c r="B13" t="n">
        <v>3572</v>
      </c>
      <c r="C13" t="n">
        <v>1221</v>
      </c>
      <c r="D13" t="n">
        <v>245</v>
      </c>
      <c r="F13" t="n">
        <v>161</v>
      </c>
      <c r="G13">
        <f>LOOKUP($F13,$A$3:$A$202,B$3:B$202)</f>
        <v/>
      </c>
      <c r="H13">
        <f>LOOKUP($F13,$A$3:$A$202,C$3:C$202)</f>
        <v/>
      </c>
      <c r="I13">
        <f>LOOKUP($F13,$A$3:$A$202,D$3:D$202)</f>
        <v/>
      </c>
      <c r="J13">
        <f>INT(SQRT((G13-G14)*(G13-G14)+(H13-H14)*(H13-H14)) +0.5)</f>
        <v/>
      </c>
    </row>
    <row r="14">
      <c r="A14" t="n">
        <v>11</v>
      </c>
      <c r="B14" t="n">
        <v>2375</v>
      </c>
      <c r="C14" t="n">
        <v>732</v>
      </c>
      <c r="D14" t="n">
        <v>715</v>
      </c>
      <c r="F14" t="n">
        <v>37</v>
      </c>
      <c r="G14">
        <f>LOOKUP($F14,$A$3:$A$202,B$3:B$202)</f>
        <v/>
      </c>
      <c r="H14">
        <f>LOOKUP($F14,$A$3:$A$202,C$3:C$202)</f>
        <v/>
      </c>
      <c r="I14">
        <f>LOOKUP($F14,$A$3:$A$202,D$3:D$202)</f>
        <v/>
      </c>
      <c r="J14">
        <f>INT(SQRT((G14-G15)*(G14-G15)+(H14-H15)*(H14-H15)) +0.5)</f>
        <v/>
      </c>
    </row>
    <row r="15">
      <c r="A15" t="n">
        <v>12</v>
      </c>
      <c r="B15" t="n">
        <v>3256</v>
      </c>
      <c r="C15" t="n">
        <v>1506</v>
      </c>
      <c r="D15" t="n">
        <v>960</v>
      </c>
      <c r="F15" t="n">
        <v>172</v>
      </c>
      <c r="G15">
        <f>LOOKUP($F15,$A$3:$A$202,B$3:B$202)</f>
        <v/>
      </c>
      <c r="H15">
        <f>LOOKUP($F15,$A$3:$A$202,C$3:C$202)</f>
        <v/>
      </c>
      <c r="I15">
        <f>LOOKUP($F15,$A$3:$A$202,D$3:D$202)</f>
        <v/>
      </c>
      <c r="J15">
        <f>INT(SQRT((G15-G16)*(G15-G16)+(H15-H16)*(H15-H16)) +0.5)</f>
        <v/>
      </c>
    </row>
    <row r="16">
      <c r="A16" t="n">
        <v>13</v>
      </c>
      <c r="B16" t="n">
        <v>85</v>
      </c>
      <c r="C16" t="n">
        <v>1765</v>
      </c>
      <c r="D16" t="n">
        <v>525</v>
      </c>
      <c r="F16" t="n">
        <v>142</v>
      </c>
      <c r="G16">
        <f>LOOKUP($F16,$A$3:$A$202,B$3:B$202)</f>
        <v/>
      </c>
      <c r="H16">
        <f>LOOKUP($F16,$A$3:$A$202,C$3:C$202)</f>
        <v/>
      </c>
      <c r="I16">
        <f>LOOKUP($F16,$A$3:$A$202,D$3:D$202)</f>
        <v/>
      </c>
      <c r="J16">
        <f>INT(SQRT((G16-G17)*(G16-G17)+(H16-H17)*(H16-H17)) +0.5)</f>
        <v/>
      </c>
    </row>
    <row r="17">
      <c r="A17" t="n">
        <v>14</v>
      </c>
      <c r="B17" t="n">
        <v>3440</v>
      </c>
      <c r="C17" t="n">
        <v>283</v>
      </c>
      <c r="D17" t="n">
        <v>181</v>
      </c>
      <c r="F17" t="n">
        <v>50</v>
      </c>
      <c r="G17">
        <f>LOOKUP($F17,$A$3:$A$202,B$3:B$202)</f>
        <v/>
      </c>
      <c r="H17">
        <f>LOOKUP($F17,$A$3:$A$202,C$3:C$202)</f>
        <v/>
      </c>
      <c r="I17">
        <f>LOOKUP($F17,$A$3:$A$202,D$3:D$202)</f>
        <v/>
      </c>
      <c r="J17">
        <f>INT(SQRT((G17-G18)*(G17-G18)+(H17-H18)*(H17-H18)) +0.5)</f>
        <v/>
      </c>
    </row>
    <row r="18">
      <c r="A18" t="n">
        <v>15</v>
      </c>
      <c r="B18" t="n">
        <v>794</v>
      </c>
      <c r="C18" t="n">
        <v>1400</v>
      </c>
      <c r="D18" t="n">
        <v>809</v>
      </c>
      <c r="F18" t="n">
        <v>195</v>
      </c>
      <c r="G18">
        <f>LOOKUP($F18,$A$3:$A$202,B$3:B$202)</f>
        <v/>
      </c>
      <c r="H18">
        <f>LOOKUP($F18,$A$3:$A$202,C$3:C$202)</f>
        <v/>
      </c>
      <c r="I18">
        <f>LOOKUP($F18,$A$3:$A$202,D$3:D$202)</f>
        <v/>
      </c>
      <c r="J18">
        <f>INT(SQRT((G18-G19)*(G18-G19)+(H18-H19)*(H18-H19)) +0.5)</f>
        <v/>
      </c>
    </row>
    <row r="19">
      <c r="A19" t="n">
        <v>16</v>
      </c>
      <c r="B19" t="n">
        <v>1743</v>
      </c>
      <c r="C19" t="n">
        <v>1951</v>
      </c>
      <c r="D19" t="n">
        <v>963</v>
      </c>
      <c r="F19" t="n">
        <v>133</v>
      </c>
      <c r="G19">
        <f>LOOKUP($F19,$A$3:$A$202,B$3:B$202)</f>
        <v/>
      </c>
      <c r="H19">
        <f>LOOKUP($F19,$A$3:$A$202,C$3:C$202)</f>
        <v/>
      </c>
      <c r="I19">
        <f>LOOKUP($F19,$A$3:$A$202,D$3:D$202)</f>
        <v/>
      </c>
      <c r="J19">
        <f>INT(SQRT((G19-G20)*(G19-G20)+(H19-H20)*(H19-H20)) +0.5)</f>
        <v/>
      </c>
    </row>
    <row r="20">
      <c r="A20" t="n">
        <v>17</v>
      </c>
      <c r="B20" t="n">
        <v>3088</v>
      </c>
      <c r="C20" t="n">
        <v>3</v>
      </c>
      <c r="D20" t="n">
        <v>550</v>
      </c>
      <c r="F20" t="n">
        <v>136</v>
      </c>
      <c r="G20">
        <f>LOOKUP($F20,$A$3:$A$202,B$3:B$202)</f>
        <v/>
      </c>
      <c r="H20">
        <f>LOOKUP($F20,$A$3:$A$202,C$3:C$202)</f>
        <v/>
      </c>
      <c r="I20">
        <f>LOOKUP($F20,$A$3:$A$202,D$3:D$202)</f>
        <v/>
      </c>
      <c r="J20">
        <f>INT(SQRT((G20-G21)*(G20-G21)+(H20-H21)*(H20-H21)) +0.5)</f>
        <v/>
      </c>
    </row>
    <row r="21">
      <c r="A21" t="n">
        <v>18</v>
      </c>
      <c r="B21" t="n">
        <v>3356</v>
      </c>
      <c r="C21" t="n">
        <v>1553</v>
      </c>
      <c r="D21" t="n">
        <v>732</v>
      </c>
      <c r="F21" t="n">
        <v>27</v>
      </c>
      <c r="G21">
        <f>LOOKUP($F21,$A$3:$A$202,B$3:B$202)</f>
        <v/>
      </c>
      <c r="H21">
        <f>LOOKUP($F21,$A$3:$A$202,C$3:C$202)</f>
        <v/>
      </c>
      <c r="I21">
        <f>LOOKUP($F21,$A$3:$A$202,D$3:D$202)</f>
        <v/>
      </c>
      <c r="J21">
        <f>INT(SQRT((G21-G22)*(G21-G22)+(H21-H22)*(H21-H22)) +0.5)</f>
        <v/>
      </c>
    </row>
    <row r="22">
      <c r="A22" t="n">
        <v>19</v>
      </c>
      <c r="B22" t="n">
        <v>502</v>
      </c>
      <c r="C22" t="n">
        <v>796</v>
      </c>
      <c r="D22" t="n">
        <v>690</v>
      </c>
      <c r="F22" t="n">
        <v>189</v>
      </c>
      <c r="G22">
        <f>LOOKUP($F22,$A$3:$A$202,B$3:B$202)</f>
        <v/>
      </c>
      <c r="H22">
        <f>LOOKUP($F22,$A$3:$A$202,C$3:C$202)</f>
        <v/>
      </c>
      <c r="I22">
        <f>LOOKUP($F22,$A$3:$A$202,D$3:D$202)</f>
        <v/>
      </c>
      <c r="J22">
        <f>INT(SQRT((G22-G23)*(G22-G23)+(H22-H23)*(H22-H23)) +0.5)</f>
        <v/>
      </c>
    </row>
    <row r="23">
      <c r="A23" t="n">
        <v>20</v>
      </c>
      <c r="B23" t="n">
        <v>3347</v>
      </c>
      <c r="C23" t="n">
        <v>275</v>
      </c>
      <c r="D23" t="n">
        <v>86</v>
      </c>
      <c r="F23" t="n">
        <v>141</v>
      </c>
      <c r="G23">
        <f>LOOKUP($F23,$A$3:$A$202,B$3:B$202)</f>
        <v/>
      </c>
      <c r="H23">
        <f>LOOKUP($F23,$A$3:$A$202,C$3:C$202)</f>
        <v/>
      </c>
      <c r="I23">
        <f>LOOKUP($F23,$A$3:$A$202,D$3:D$202)</f>
        <v/>
      </c>
      <c r="J23">
        <f>INT(SQRT((G23-G24)*(G23-G24)+(H23-H24)*(H23-H24)) +0.5)</f>
        <v/>
      </c>
    </row>
    <row r="24">
      <c r="A24" t="n">
        <v>21</v>
      </c>
      <c r="B24" t="n">
        <v>1297</v>
      </c>
      <c r="C24" t="n">
        <v>1216</v>
      </c>
      <c r="D24" t="n">
        <v>394</v>
      </c>
      <c r="F24" t="n">
        <v>121</v>
      </c>
      <c r="G24">
        <f>LOOKUP($F24,$A$3:$A$202,B$3:B$202)</f>
        <v/>
      </c>
      <c r="H24">
        <f>LOOKUP($F24,$A$3:$A$202,C$3:C$202)</f>
        <v/>
      </c>
      <c r="I24">
        <f>LOOKUP($F24,$A$3:$A$202,D$3:D$202)</f>
        <v/>
      </c>
      <c r="J24">
        <f>INT(SQRT((G24-G25)*(G24-G25)+(H24-H25)*(H24-H25)) +0.5)</f>
        <v/>
      </c>
    </row>
    <row r="25">
      <c r="A25" t="n">
        <v>22</v>
      </c>
      <c r="B25" t="n">
        <v>2104</v>
      </c>
      <c r="C25" t="n">
        <v>899</v>
      </c>
      <c r="D25" t="n">
        <v>931</v>
      </c>
      <c r="F25" t="n">
        <v>21</v>
      </c>
      <c r="G25">
        <f>LOOKUP($F25,$A$3:$A$202,B$3:B$202)</f>
        <v/>
      </c>
      <c r="H25">
        <f>LOOKUP($F25,$A$3:$A$202,C$3:C$202)</f>
        <v/>
      </c>
      <c r="I25">
        <f>LOOKUP($F25,$A$3:$A$202,D$3:D$202)</f>
        <v/>
      </c>
      <c r="J25">
        <f>INT(SQRT((G25-G26)*(G25-G26)+(H25-H26)*(H25-H26)) +0.5)</f>
        <v/>
      </c>
    </row>
    <row r="26">
      <c r="A26" t="n">
        <v>23</v>
      </c>
      <c r="B26" t="n">
        <v>3856</v>
      </c>
      <c r="C26" t="n">
        <v>1</v>
      </c>
      <c r="D26" t="n">
        <v>959</v>
      </c>
      <c r="F26" t="n">
        <v>72</v>
      </c>
      <c r="G26">
        <f>LOOKUP($F26,$A$3:$A$202,B$3:B$202)</f>
        <v/>
      </c>
      <c r="H26">
        <f>LOOKUP($F26,$A$3:$A$202,C$3:C$202)</f>
        <v/>
      </c>
      <c r="I26">
        <f>LOOKUP($F26,$A$3:$A$202,D$3:D$202)</f>
        <v/>
      </c>
      <c r="J26">
        <f>INT(SQRT((G26-G27)*(G26-G27)+(H26-H27)*(H26-H27)) +0.5)</f>
        <v/>
      </c>
    </row>
    <row r="27">
      <c r="A27" t="n">
        <v>24</v>
      </c>
      <c r="B27" t="n">
        <v>2330</v>
      </c>
      <c r="C27" t="n">
        <v>618</v>
      </c>
      <c r="D27" t="n">
        <v>392</v>
      </c>
      <c r="F27" t="n">
        <v>131</v>
      </c>
      <c r="G27">
        <f>LOOKUP($F27,$A$3:$A$202,B$3:B$202)</f>
        <v/>
      </c>
      <c r="H27">
        <f>LOOKUP($F27,$A$3:$A$202,C$3:C$202)</f>
        <v/>
      </c>
      <c r="I27">
        <f>LOOKUP($F27,$A$3:$A$202,D$3:D$202)</f>
        <v/>
      </c>
      <c r="J27">
        <f>INT(SQRT((G27-G28)*(G27-G28)+(H27-H28)*(H27-H28)) +0.5)</f>
        <v/>
      </c>
    </row>
    <row r="28">
      <c r="A28" t="n">
        <v>25</v>
      </c>
      <c r="B28" t="n">
        <v>2099</v>
      </c>
      <c r="C28" t="n">
        <v>639</v>
      </c>
      <c r="D28" t="n">
        <v>685</v>
      </c>
      <c r="F28" t="n">
        <v>190</v>
      </c>
      <c r="G28">
        <f>LOOKUP($F28,$A$3:$A$202,B$3:B$202)</f>
        <v/>
      </c>
      <c r="H28">
        <f>LOOKUP($F28,$A$3:$A$202,C$3:C$202)</f>
        <v/>
      </c>
      <c r="I28">
        <f>LOOKUP($F28,$A$3:$A$202,D$3:D$202)</f>
        <v/>
      </c>
      <c r="J28">
        <f>INT(SQRT((G28-G29)*(G28-G29)+(H28-H29)*(H28-H29)) +0.5)</f>
        <v/>
      </c>
    </row>
    <row r="29">
      <c r="A29" t="n">
        <v>26</v>
      </c>
      <c r="B29" t="n">
        <v>770</v>
      </c>
      <c r="C29" t="n">
        <v>1000</v>
      </c>
      <c r="D29" t="n">
        <v>557</v>
      </c>
      <c r="F29" t="n">
        <v>94</v>
      </c>
      <c r="G29">
        <f>LOOKUP($F29,$A$3:$A$202,B$3:B$202)</f>
        <v/>
      </c>
      <c r="H29">
        <f>LOOKUP($F29,$A$3:$A$202,C$3:C$202)</f>
        <v/>
      </c>
      <c r="I29">
        <f>LOOKUP($F29,$A$3:$A$202,D$3:D$202)</f>
        <v/>
      </c>
      <c r="J29">
        <f>INT(SQRT((G29-G30)*(G29-G30)+(H29-H30)*(H29-H30)) +0.5)</f>
        <v/>
      </c>
    </row>
    <row r="30">
      <c r="A30" t="n">
        <v>27</v>
      </c>
      <c r="B30" t="n">
        <v>2271</v>
      </c>
      <c r="C30" t="n">
        <v>941</v>
      </c>
      <c r="D30" t="n">
        <v>520</v>
      </c>
      <c r="F30" t="n">
        <v>83</v>
      </c>
      <c r="G30">
        <f>LOOKUP($F30,$A$3:$A$202,B$3:B$202)</f>
        <v/>
      </c>
      <c r="H30">
        <f>LOOKUP($F30,$A$3:$A$202,C$3:C$202)</f>
        <v/>
      </c>
      <c r="I30">
        <f>LOOKUP($F30,$A$3:$A$202,D$3:D$202)</f>
        <v/>
      </c>
      <c r="J30">
        <f>INT(SQRT((G30-G31)*(G30-G31)+(H30-H31)*(H30-H31)) +0.5)</f>
        <v/>
      </c>
    </row>
    <row r="31">
      <c r="A31" t="n">
        <v>28</v>
      </c>
      <c r="B31" t="n">
        <v>154</v>
      </c>
      <c r="C31" t="n">
        <v>1474</v>
      </c>
      <c r="D31" t="n">
        <v>79</v>
      </c>
      <c r="F31" t="n">
        <v>77</v>
      </c>
      <c r="G31">
        <f>LOOKUP($F31,$A$3:$A$202,B$3:B$202)</f>
        <v/>
      </c>
      <c r="H31">
        <f>LOOKUP($F31,$A$3:$A$202,C$3:C$202)</f>
        <v/>
      </c>
      <c r="I31">
        <f>LOOKUP($F31,$A$3:$A$202,D$3:D$202)</f>
        <v/>
      </c>
      <c r="J31">
        <f>INT(SQRT((G31-G32)*(G31-G32)+(H31-H32)*(H31-H32)) +0.5)</f>
        <v/>
      </c>
    </row>
    <row r="32">
      <c r="A32" t="n">
        <v>29</v>
      </c>
      <c r="B32" t="n">
        <v>432</v>
      </c>
      <c r="C32" t="n">
        <v>517</v>
      </c>
      <c r="D32" t="n">
        <v>315</v>
      </c>
      <c r="F32" t="n">
        <v>105</v>
      </c>
      <c r="G32">
        <f>LOOKUP($F32,$A$3:$A$202,B$3:B$202)</f>
        <v/>
      </c>
      <c r="H32">
        <f>LOOKUP($F32,$A$3:$A$202,C$3:C$202)</f>
        <v/>
      </c>
      <c r="I32">
        <f>LOOKUP($F32,$A$3:$A$202,D$3:D$202)</f>
        <v/>
      </c>
      <c r="J32">
        <f>INT(SQRT((G32-G33)*(G32-G33)+(H32-H33)*(H32-H33)) +0.5)</f>
        <v/>
      </c>
    </row>
    <row r="33">
      <c r="A33" t="n">
        <v>30</v>
      </c>
      <c r="B33" t="n">
        <v>1263</v>
      </c>
      <c r="C33" t="n">
        <v>1301</v>
      </c>
      <c r="D33" t="n">
        <v>410</v>
      </c>
      <c r="F33" t="n">
        <v>84</v>
      </c>
      <c r="G33">
        <f>LOOKUP($F33,$A$3:$A$202,B$3:B$202)</f>
        <v/>
      </c>
      <c r="H33">
        <f>LOOKUP($F33,$A$3:$A$202,C$3:C$202)</f>
        <v/>
      </c>
      <c r="I33">
        <f>LOOKUP($F33,$A$3:$A$202,D$3:D$202)</f>
        <v/>
      </c>
      <c r="J33">
        <f>INT(SQRT((G33-G34)*(G33-G34)+(H33-H34)*(H33-H34)) +0.5)</f>
        <v/>
      </c>
    </row>
    <row r="34">
      <c r="A34" t="n">
        <v>31</v>
      </c>
      <c r="B34" t="n">
        <v>2495</v>
      </c>
      <c r="C34" t="n">
        <v>502</v>
      </c>
      <c r="D34" t="n">
        <v>671</v>
      </c>
      <c r="F34" t="n">
        <v>148</v>
      </c>
      <c r="G34">
        <f>LOOKUP($F34,$A$3:$A$202,B$3:B$202)</f>
        <v/>
      </c>
      <c r="H34">
        <f>LOOKUP($F34,$A$3:$A$202,C$3:C$202)</f>
        <v/>
      </c>
      <c r="I34">
        <f>LOOKUP($F34,$A$3:$A$202,D$3:D$202)</f>
        <v/>
      </c>
      <c r="J34">
        <f>INT(SQRT((G34-G35)*(G34-G35)+(H34-H35)*(H34-H35)) +0.5)</f>
        <v/>
      </c>
    </row>
    <row r="35">
      <c r="A35" t="n">
        <v>32</v>
      </c>
      <c r="B35" t="n">
        <v>2066</v>
      </c>
      <c r="C35" t="n">
        <v>1754</v>
      </c>
      <c r="D35" t="n">
        <v>828</v>
      </c>
      <c r="F35" t="n">
        <v>4</v>
      </c>
      <c r="G35">
        <f>LOOKUP($F35,$A$3:$A$202,B$3:B$202)</f>
        <v/>
      </c>
      <c r="H35">
        <f>LOOKUP($F35,$A$3:$A$202,C$3:C$202)</f>
        <v/>
      </c>
      <c r="I35">
        <f>LOOKUP($F35,$A$3:$A$202,D$3:D$202)</f>
        <v/>
      </c>
      <c r="J35">
        <f>INT(SQRT((G35-G36)*(G35-G36)+(H35-H36)*(H35-H36)) +0.5)</f>
        <v/>
      </c>
    </row>
    <row r="36">
      <c r="A36" t="n">
        <v>33</v>
      </c>
      <c r="B36" t="n">
        <v>1307</v>
      </c>
      <c r="C36" t="n">
        <v>748</v>
      </c>
      <c r="D36" t="n">
        <v>660</v>
      </c>
      <c r="F36" t="n">
        <v>67</v>
      </c>
      <c r="G36">
        <f>LOOKUP($F36,$A$3:$A$202,B$3:B$202)</f>
        <v/>
      </c>
      <c r="H36">
        <f>LOOKUP($F36,$A$3:$A$202,C$3:C$202)</f>
        <v/>
      </c>
      <c r="I36">
        <f>LOOKUP($F36,$A$3:$A$202,D$3:D$202)</f>
        <v/>
      </c>
      <c r="J36">
        <f>INT(SQRT((G36-G37)*(G36-G37)+(H36-H37)*(H36-H37)) +0.5)</f>
        <v/>
      </c>
    </row>
    <row r="37">
      <c r="A37" t="n">
        <v>34</v>
      </c>
      <c r="B37" t="n">
        <v>2308</v>
      </c>
      <c r="C37" t="n">
        <v>609</v>
      </c>
      <c r="D37" t="n">
        <v>380</v>
      </c>
      <c r="F37" t="n">
        <v>25</v>
      </c>
      <c r="G37">
        <f>LOOKUP($F37,$A$3:$A$202,B$3:B$202)</f>
        <v/>
      </c>
      <c r="H37">
        <f>LOOKUP($F37,$A$3:$A$202,C$3:C$202)</f>
        <v/>
      </c>
      <c r="I37">
        <f>LOOKUP($F37,$A$3:$A$202,D$3:D$202)</f>
        <v/>
      </c>
      <c r="J37">
        <f>INT(SQRT((G37-G38)*(G37-G38)+(H37-H38)*(H37-H38)) +0.5)</f>
        <v/>
      </c>
    </row>
    <row r="38">
      <c r="A38" t="n">
        <v>35</v>
      </c>
      <c r="B38" t="n">
        <v>2413</v>
      </c>
      <c r="C38" t="n">
        <v>851</v>
      </c>
      <c r="D38" t="n">
        <v>922</v>
      </c>
      <c r="F38" t="n">
        <v>124</v>
      </c>
      <c r="G38">
        <f>LOOKUP($F38,$A$3:$A$202,B$3:B$202)</f>
        <v/>
      </c>
      <c r="H38">
        <f>LOOKUP($F38,$A$3:$A$202,C$3:C$202)</f>
        <v/>
      </c>
      <c r="I38">
        <f>LOOKUP($F38,$A$3:$A$202,D$3:D$202)</f>
        <v/>
      </c>
      <c r="J38">
        <f>INT(SQRT((G38-G39)*(G38-G39)+(H38-H39)*(H38-H39)) +0.5)</f>
        <v/>
      </c>
    </row>
    <row r="39">
      <c r="A39" t="n">
        <v>36</v>
      </c>
      <c r="B39" t="n">
        <v>538</v>
      </c>
      <c r="C39" t="n">
        <v>367</v>
      </c>
      <c r="D39" t="n">
        <v>543</v>
      </c>
      <c r="F39" t="n">
        <v>39</v>
      </c>
      <c r="G39">
        <f>LOOKUP($F39,$A$3:$A$202,B$3:B$202)</f>
        <v/>
      </c>
      <c r="H39">
        <f>LOOKUP($F39,$A$3:$A$202,C$3:C$202)</f>
        <v/>
      </c>
      <c r="I39">
        <f>LOOKUP($F39,$A$3:$A$202,D$3:D$202)</f>
        <v/>
      </c>
      <c r="J39">
        <f>INT(SQRT((G39-G40)*(G39-G40)+(H39-H40)*(H39-H40)) +0.5)</f>
        <v/>
      </c>
    </row>
    <row r="40">
      <c r="A40" t="n">
        <v>37</v>
      </c>
      <c r="B40" t="n">
        <v>110</v>
      </c>
      <c r="C40" t="n">
        <v>1989</v>
      </c>
      <c r="D40" t="n">
        <v>272</v>
      </c>
      <c r="F40" t="n">
        <v>183</v>
      </c>
      <c r="G40">
        <f>LOOKUP($F40,$A$3:$A$202,B$3:B$202)</f>
        <v/>
      </c>
      <c r="H40">
        <f>LOOKUP($F40,$A$3:$A$202,C$3:C$202)</f>
        <v/>
      </c>
      <c r="I40">
        <f>LOOKUP($F40,$A$3:$A$202,D$3:D$202)</f>
        <v/>
      </c>
      <c r="J40">
        <f>INT(SQRT((G40-G41)*(G40-G41)+(H40-H41)*(H40-H41)) +0.5)</f>
        <v/>
      </c>
    </row>
    <row r="41">
      <c r="A41" t="n">
        <v>38</v>
      </c>
      <c r="B41" t="n">
        <v>1168</v>
      </c>
      <c r="C41" t="n">
        <v>1140</v>
      </c>
      <c r="D41" t="n">
        <v>394</v>
      </c>
      <c r="F41" t="n">
        <v>23</v>
      </c>
      <c r="G41">
        <f>LOOKUP($F41,$A$3:$A$202,B$3:B$202)</f>
        <v/>
      </c>
      <c r="H41">
        <f>LOOKUP($F41,$A$3:$A$202,C$3:C$202)</f>
        <v/>
      </c>
      <c r="I41">
        <f>LOOKUP($F41,$A$3:$A$202,D$3:D$202)</f>
        <v/>
      </c>
      <c r="J41">
        <f>INT(SQRT((G41-G42)*(G41-G42)+(H41-H42)*(H41-H42)) +0.5)</f>
        <v/>
      </c>
    </row>
    <row r="42">
      <c r="A42" t="n">
        <v>39</v>
      </c>
      <c r="B42" t="n">
        <v>2846</v>
      </c>
      <c r="C42" t="n">
        <v>61</v>
      </c>
      <c r="D42" t="n">
        <v>678</v>
      </c>
      <c r="F42" t="n">
        <v>89</v>
      </c>
      <c r="G42">
        <f>LOOKUP($F42,$A$3:$A$202,B$3:B$202)</f>
        <v/>
      </c>
      <c r="H42">
        <f>LOOKUP($F42,$A$3:$A$202,C$3:C$202)</f>
        <v/>
      </c>
      <c r="I42">
        <f>LOOKUP($F42,$A$3:$A$202,D$3:D$202)</f>
        <v/>
      </c>
      <c r="J42">
        <f>INT(SQRT((G42-G43)*(G42-G43)+(H42-H43)*(H42-H43)) +0.5)</f>
        <v/>
      </c>
    </row>
    <row r="43">
      <c r="A43" t="n">
        <v>40</v>
      </c>
      <c r="B43" t="n">
        <v>1193</v>
      </c>
      <c r="C43" t="n">
        <v>522</v>
      </c>
      <c r="D43" t="n">
        <v>102</v>
      </c>
      <c r="F43" t="n">
        <v>177</v>
      </c>
      <c r="G43">
        <f>LOOKUP($F43,$A$3:$A$202,B$3:B$202)</f>
        <v/>
      </c>
      <c r="H43">
        <f>LOOKUP($F43,$A$3:$A$202,C$3:C$202)</f>
        <v/>
      </c>
      <c r="I43">
        <f>LOOKUP($F43,$A$3:$A$202,D$3:D$202)</f>
        <v/>
      </c>
      <c r="J43">
        <f>INT(SQRT((G43-G44)*(G43-G44)+(H43-H44)*(H43-H44)) +0.5)</f>
        <v/>
      </c>
    </row>
    <row r="44">
      <c r="A44" t="n">
        <v>41</v>
      </c>
      <c r="B44" t="n">
        <v>3381</v>
      </c>
      <c r="C44" t="n">
        <v>1239</v>
      </c>
      <c r="D44" t="n">
        <v>814</v>
      </c>
      <c r="F44" t="n">
        <v>187</v>
      </c>
      <c r="G44">
        <f>LOOKUP($F44,$A$3:$A$202,B$3:B$202)</f>
        <v/>
      </c>
      <c r="H44">
        <f>LOOKUP($F44,$A$3:$A$202,C$3:C$202)</f>
        <v/>
      </c>
      <c r="I44">
        <f>LOOKUP($F44,$A$3:$A$202,D$3:D$202)</f>
        <v/>
      </c>
      <c r="J44">
        <f>INT(SQRT((G44-G45)*(G44-G45)+(H44-H45)*(H44-H45)) +0.5)</f>
        <v/>
      </c>
    </row>
    <row r="45">
      <c r="A45" t="n">
        <v>42</v>
      </c>
      <c r="B45" t="n">
        <v>912</v>
      </c>
      <c r="C45" t="n">
        <v>1974</v>
      </c>
      <c r="D45" t="n">
        <v>578</v>
      </c>
      <c r="F45" t="n">
        <v>135</v>
      </c>
      <c r="G45">
        <f>LOOKUP($F45,$A$3:$A$202,B$3:B$202)</f>
        <v/>
      </c>
      <c r="H45">
        <f>LOOKUP($F45,$A$3:$A$202,C$3:C$202)</f>
        <v/>
      </c>
      <c r="I45">
        <f>LOOKUP($F45,$A$3:$A$202,D$3:D$202)</f>
        <v/>
      </c>
      <c r="J45">
        <f>INT(SQRT((G45-G46)*(G45-G46)+(H45-H46)*(H45-H46)) +0.5)</f>
        <v/>
      </c>
    </row>
    <row r="46">
      <c r="A46" t="n">
        <v>43</v>
      </c>
      <c r="B46" t="n">
        <v>1942</v>
      </c>
      <c r="C46" t="n">
        <v>1781</v>
      </c>
      <c r="D46" t="n">
        <v>756</v>
      </c>
      <c r="F46" t="n">
        <v>171</v>
      </c>
      <c r="G46">
        <f>LOOKUP($F46,$A$3:$A$202,B$3:B$202)</f>
        <v/>
      </c>
      <c r="H46">
        <f>LOOKUP($F46,$A$3:$A$202,C$3:C$202)</f>
        <v/>
      </c>
      <c r="I46">
        <f>LOOKUP($F46,$A$3:$A$202,D$3:D$202)</f>
        <v/>
      </c>
      <c r="J46">
        <f>INT(SQRT((G46-G47)*(G46-G47)+(H46-H47)*(H46-H47)) +0.5)</f>
        <v/>
      </c>
    </row>
    <row r="47">
      <c r="A47" t="n">
        <v>44</v>
      </c>
      <c r="B47" t="n">
        <v>2324</v>
      </c>
      <c r="C47" t="n">
        <v>1886</v>
      </c>
      <c r="D47" t="n">
        <v>939</v>
      </c>
      <c r="F47" t="n">
        <v>86</v>
      </c>
      <c r="G47">
        <f>LOOKUP($F47,$A$3:$A$202,B$3:B$202)</f>
        <v/>
      </c>
      <c r="H47">
        <f>LOOKUP($F47,$A$3:$A$202,C$3:C$202)</f>
        <v/>
      </c>
      <c r="I47">
        <f>LOOKUP($F47,$A$3:$A$202,D$3:D$202)</f>
        <v/>
      </c>
      <c r="J47">
        <f>INT(SQRT((G47-G48)*(G47-G48)+(H47-H48)*(H47-H48)) +0.5)</f>
        <v/>
      </c>
    </row>
    <row r="48">
      <c r="A48" t="n">
        <v>45</v>
      </c>
      <c r="B48" t="n">
        <v>1138</v>
      </c>
      <c r="C48" t="n">
        <v>136</v>
      </c>
      <c r="D48" t="n">
        <v>212</v>
      </c>
      <c r="F48" t="n">
        <v>147</v>
      </c>
      <c r="G48">
        <f>LOOKUP($F48,$A$3:$A$202,B$3:B$202)</f>
        <v/>
      </c>
      <c r="H48">
        <f>LOOKUP($F48,$A$3:$A$202,C$3:C$202)</f>
        <v/>
      </c>
      <c r="I48">
        <f>LOOKUP($F48,$A$3:$A$202,D$3:D$202)</f>
        <v/>
      </c>
      <c r="J48">
        <f>INT(SQRT((G48-G49)*(G48-G49)+(H48-H49)*(H48-H49)) +0.5)</f>
        <v/>
      </c>
    </row>
    <row r="49">
      <c r="A49" t="n">
        <v>46</v>
      </c>
      <c r="B49" t="n">
        <v>2073</v>
      </c>
      <c r="C49" t="n">
        <v>1391</v>
      </c>
      <c r="D49" t="n">
        <v>444</v>
      </c>
      <c r="F49" t="n">
        <v>55</v>
      </c>
      <c r="G49">
        <f>LOOKUP($F49,$A$3:$A$202,B$3:B$202)</f>
        <v/>
      </c>
      <c r="H49">
        <f>LOOKUP($F49,$A$3:$A$202,C$3:C$202)</f>
        <v/>
      </c>
      <c r="I49">
        <f>LOOKUP($F49,$A$3:$A$202,D$3:D$202)</f>
        <v/>
      </c>
      <c r="J49">
        <f>INT(SQRT((G49-G50)*(G49-G50)+(H49-H50)*(H49-H50)) +0.5)</f>
        <v/>
      </c>
    </row>
    <row r="50">
      <c r="A50" t="n">
        <v>47</v>
      </c>
      <c r="B50" t="n">
        <v>1155</v>
      </c>
      <c r="C50" t="n">
        <v>997</v>
      </c>
      <c r="D50" t="n">
        <v>203</v>
      </c>
      <c r="F50" t="n">
        <v>194</v>
      </c>
      <c r="G50">
        <f>LOOKUP($F50,$A$3:$A$202,B$3:B$202)</f>
        <v/>
      </c>
      <c r="H50">
        <f>LOOKUP($F50,$A$3:$A$202,C$3:C$202)</f>
        <v/>
      </c>
      <c r="I50">
        <f>LOOKUP($F50,$A$3:$A$202,D$3:D$202)</f>
        <v/>
      </c>
      <c r="J50">
        <f>INT(SQRT((G50-G51)*(G50-G51)+(H50-H51)*(H50-H51)) +0.5)</f>
        <v/>
      </c>
    </row>
    <row r="51">
      <c r="A51" t="n">
        <v>48</v>
      </c>
      <c r="B51" t="n">
        <v>1741</v>
      </c>
      <c r="C51" t="n">
        <v>1882</v>
      </c>
      <c r="D51" t="n">
        <v>482</v>
      </c>
      <c r="F51" t="n">
        <v>52</v>
      </c>
      <c r="G51">
        <f>LOOKUP($F51,$A$3:$A$202,B$3:B$202)</f>
        <v/>
      </c>
      <c r="H51">
        <f>LOOKUP($F51,$A$3:$A$202,C$3:C$202)</f>
        <v/>
      </c>
      <c r="I51">
        <f>LOOKUP($F51,$A$3:$A$202,D$3:D$202)</f>
        <v/>
      </c>
      <c r="J51">
        <f>INT(SQRT((G51-G52)*(G51-G52)+(H51-H52)*(H51-H52)) +0.5)</f>
        <v/>
      </c>
    </row>
    <row r="52">
      <c r="A52" t="n">
        <v>49</v>
      </c>
      <c r="B52" t="n">
        <v>1509</v>
      </c>
      <c r="C52" t="n">
        <v>766</v>
      </c>
      <c r="D52" t="n">
        <v>807</v>
      </c>
      <c r="F52" t="n">
        <v>57</v>
      </c>
      <c r="G52">
        <f>LOOKUP($F52,$A$3:$A$202,B$3:B$202)</f>
        <v/>
      </c>
      <c r="H52">
        <f>LOOKUP($F52,$A$3:$A$202,C$3:C$202)</f>
        <v/>
      </c>
      <c r="I52">
        <f>LOOKUP($F52,$A$3:$A$202,D$3:D$202)</f>
        <v/>
      </c>
      <c r="J52">
        <f>INT(SQRT((G52-G53)*(G52-G53)+(H52-H53)*(H52-H53)) +0.5)</f>
        <v/>
      </c>
    </row>
    <row r="53">
      <c r="A53" t="n">
        <v>50</v>
      </c>
      <c r="B53" t="n">
        <v>1004</v>
      </c>
      <c r="C53" t="n">
        <v>1670</v>
      </c>
      <c r="D53" t="n">
        <v>586</v>
      </c>
      <c r="F53" t="n">
        <v>113</v>
      </c>
      <c r="G53">
        <f>LOOKUP($F53,$A$3:$A$202,B$3:B$202)</f>
        <v/>
      </c>
      <c r="H53">
        <f>LOOKUP($F53,$A$3:$A$202,C$3:C$202)</f>
        <v/>
      </c>
      <c r="I53">
        <f>LOOKUP($F53,$A$3:$A$202,D$3:D$202)</f>
        <v/>
      </c>
      <c r="J53">
        <f>INT(SQRT((G53-G54)*(G53-G54)+(H53-H54)*(H53-H54)) +0.5)</f>
        <v/>
      </c>
    </row>
    <row r="54">
      <c r="A54" t="n">
        <v>51</v>
      </c>
      <c r="B54" t="n">
        <v>1905</v>
      </c>
      <c r="C54" t="n">
        <v>368</v>
      </c>
      <c r="D54" t="n">
        <v>361</v>
      </c>
      <c r="F54" t="n">
        <v>82</v>
      </c>
      <c r="G54">
        <f>LOOKUP($F54,$A$3:$A$202,B$3:B$202)</f>
        <v/>
      </c>
      <c r="H54">
        <f>LOOKUP($F54,$A$3:$A$202,C$3:C$202)</f>
        <v/>
      </c>
      <c r="I54">
        <f>LOOKUP($F54,$A$3:$A$202,D$3:D$202)</f>
        <v/>
      </c>
      <c r="J54">
        <f>INT(SQRT((G54-G55)*(G54-G55)+(H54-H55)*(H54-H55)) +0.5)</f>
        <v/>
      </c>
    </row>
    <row r="55">
      <c r="A55" t="n">
        <v>52</v>
      </c>
      <c r="B55" t="n">
        <v>3276</v>
      </c>
      <c r="C55" t="n">
        <v>620</v>
      </c>
      <c r="D55" t="n">
        <v>614</v>
      </c>
      <c r="F55" t="n">
        <v>112</v>
      </c>
      <c r="G55">
        <f>LOOKUP($F55,$A$3:$A$202,B$3:B$202)</f>
        <v/>
      </c>
      <c r="H55">
        <f>LOOKUP($F55,$A$3:$A$202,C$3:C$202)</f>
        <v/>
      </c>
      <c r="I55">
        <f>LOOKUP($F55,$A$3:$A$202,D$3:D$202)</f>
        <v/>
      </c>
      <c r="J55">
        <f>INT(SQRT((G55-G56)*(G55-G56)+(H55-H56)*(H55-H56)) +0.5)</f>
        <v/>
      </c>
    </row>
    <row r="56">
      <c r="A56" t="n">
        <v>53</v>
      </c>
      <c r="B56" t="n">
        <v>473</v>
      </c>
      <c r="C56" t="n">
        <v>970</v>
      </c>
      <c r="D56" t="n">
        <v>835</v>
      </c>
      <c r="F56" t="n">
        <v>2</v>
      </c>
      <c r="G56">
        <f>LOOKUP($F56,$A$3:$A$202,B$3:B$202)</f>
        <v/>
      </c>
      <c r="H56">
        <f>LOOKUP($F56,$A$3:$A$202,C$3:C$202)</f>
        <v/>
      </c>
      <c r="I56">
        <f>LOOKUP($F56,$A$3:$A$202,D$3:D$202)</f>
        <v/>
      </c>
      <c r="J56">
        <f>INT(SQRT((G56-G57)*(G56-G57)+(H56-H57)*(H56-H57)) +0.5)</f>
        <v/>
      </c>
    </row>
    <row r="57">
      <c r="A57" t="n">
        <v>54</v>
      </c>
      <c r="B57" t="n">
        <v>3051</v>
      </c>
      <c r="C57" t="n">
        <v>1089</v>
      </c>
      <c r="D57" t="n">
        <v>5</v>
      </c>
      <c r="F57" t="n">
        <v>90</v>
      </c>
      <c r="G57">
        <f>LOOKUP($F57,$A$3:$A$202,B$3:B$202)</f>
        <v/>
      </c>
      <c r="H57">
        <f>LOOKUP($F57,$A$3:$A$202,C$3:C$202)</f>
        <v/>
      </c>
      <c r="I57">
        <f>LOOKUP($F57,$A$3:$A$202,D$3:D$202)</f>
        <v/>
      </c>
      <c r="J57">
        <f>INT(SQRT((G57-G58)*(G57-G58)+(H57-H58)*(H57-H58)) +0.5)</f>
        <v/>
      </c>
    </row>
    <row r="58">
      <c r="A58" t="n">
        <v>55</v>
      </c>
      <c r="B58" t="n">
        <v>570</v>
      </c>
      <c r="C58" t="n">
        <v>1060</v>
      </c>
      <c r="D58" t="n">
        <v>837</v>
      </c>
      <c r="F58" t="n">
        <v>193</v>
      </c>
      <c r="G58">
        <f>LOOKUP($F58,$A$3:$A$202,B$3:B$202)</f>
        <v/>
      </c>
      <c r="H58">
        <f>LOOKUP($F58,$A$3:$A$202,C$3:C$202)</f>
        <v/>
      </c>
      <c r="I58">
        <f>LOOKUP($F58,$A$3:$A$202,D$3:D$202)</f>
        <v/>
      </c>
      <c r="J58">
        <f>INT(SQRT((G58-G59)*(G58-G59)+(H58-H59)*(H58-H59)) +0.5)</f>
        <v/>
      </c>
    </row>
    <row r="59">
      <c r="A59" t="n">
        <v>56</v>
      </c>
      <c r="B59" t="n">
        <v>3799</v>
      </c>
      <c r="C59" t="n">
        <v>715</v>
      </c>
      <c r="D59" t="n">
        <v>617</v>
      </c>
      <c r="F59" t="n">
        <v>191</v>
      </c>
      <c r="G59">
        <f>LOOKUP($F59,$A$3:$A$202,B$3:B$202)</f>
        <v/>
      </c>
      <c r="H59">
        <f>LOOKUP($F59,$A$3:$A$202,C$3:C$202)</f>
        <v/>
      </c>
      <c r="I59">
        <f>LOOKUP($F59,$A$3:$A$202,D$3:D$202)</f>
        <v/>
      </c>
      <c r="J59">
        <f>INT(SQRT((G59-G60)*(G59-G60)+(H59-H60)*(H59-H60)) +0.5)</f>
        <v/>
      </c>
    </row>
    <row r="60">
      <c r="A60" t="n">
        <v>57</v>
      </c>
      <c r="B60" t="n">
        <v>2500</v>
      </c>
      <c r="C60" t="n">
        <v>1667</v>
      </c>
      <c r="D60" t="n">
        <v>107</v>
      </c>
      <c r="F60" t="n">
        <v>107</v>
      </c>
      <c r="G60">
        <f>LOOKUP($F60,$A$3:$A$202,B$3:B$202)</f>
        <v/>
      </c>
      <c r="H60">
        <f>LOOKUP($F60,$A$3:$A$202,C$3:C$202)</f>
        <v/>
      </c>
      <c r="I60">
        <f>LOOKUP($F60,$A$3:$A$202,D$3:D$202)</f>
        <v/>
      </c>
      <c r="J60">
        <f>INT(SQRT((G60-G61)*(G60-G61)+(H60-H61)*(H60-H61)) +0.5)</f>
        <v/>
      </c>
    </row>
    <row r="61">
      <c r="A61" t="n">
        <v>58</v>
      </c>
      <c r="B61" t="n">
        <v>1563</v>
      </c>
      <c r="C61" t="n">
        <v>1998</v>
      </c>
      <c r="D61" t="n">
        <v>560</v>
      </c>
      <c r="F61" t="n">
        <v>145</v>
      </c>
      <c r="G61">
        <f>LOOKUP($F61,$A$3:$A$202,B$3:B$202)</f>
        <v/>
      </c>
      <c r="H61">
        <f>LOOKUP($F61,$A$3:$A$202,C$3:C$202)</f>
        <v/>
      </c>
      <c r="I61">
        <f>LOOKUP($F61,$A$3:$A$202,D$3:D$202)</f>
        <v/>
      </c>
      <c r="J61">
        <f>INT(SQRT((G61-G62)*(G61-G62)+(H61-H62)*(H61-H62)) +0.5)</f>
        <v/>
      </c>
    </row>
    <row r="62">
      <c r="A62" t="n">
        <v>59</v>
      </c>
      <c r="B62" t="n">
        <v>1807</v>
      </c>
      <c r="C62" t="n">
        <v>455</v>
      </c>
      <c r="D62" t="n">
        <v>188</v>
      </c>
      <c r="F62" t="n">
        <v>116</v>
      </c>
      <c r="G62">
        <f>LOOKUP($F62,$A$3:$A$202,B$3:B$202)</f>
        <v/>
      </c>
      <c r="H62">
        <f>LOOKUP($F62,$A$3:$A$202,C$3:C$202)</f>
        <v/>
      </c>
      <c r="I62">
        <f>LOOKUP($F62,$A$3:$A$202,D$3:D$202)</f>
        <v/>
      </c>
      <c r="J62">
        <f>INT(SQRT((G62-G63)*(G62-G63)+(H62-H63)*(H62-H63)) +0.5)</f>
        <v/>
      </c>
    </row>
    <row r="63">
      <c r="A63" t="n">
        <v>60</v>
      </c>
      <c r="B63" t="n">
        <v>1081</v>
      </c>
      <c r="C63" t="n">
        <v>410</v>
      </c>
      <c r="D63" t="n">
        <v>158</v>
      </c>
      <c r="F63" t="n">
        <v>149</v>
      </c>
      <c r="G63">
        <f>LOOKUP($F63,$A$3:$A$202,B$3:B$202)</f>
        <v/>
      </c>
      <c r="H63">
        <f>LOOKUP($F63,$A$3:$A$202,C$3:C$202)</f>
        <v/>
      </c>
      <c r="I63">
        <f>LOOKUP($F63,$A$3:$A$202,D$3:D$202)</f>
        <v/>
      </c>
      <c r="J63">
        <f>INT(SQRT((G63-G64)*(G63-G64)+(H63-H64)*(H63-H64)) +0.5)</f>
        <v/>
      </c>
    </row>
    <row r="64">
      <c r="A64" t="n">
        <v>61</v>
      </c>
      <c r="B64" t="n">
        <v>3819</v>
      </c>
      <c r="C64" t="n">
        <v>1658</v>
      </c>
      <c r="D64" t="n">
        <v>522</v>
      </c>
      <c r="F64" t="n">
        <v>152</v>
      </c>
      <c r="G64">
        <f>LOOKUP($F64,$A$3:$A$202,B$3:B$202)</f>
        <v/>
      </c>
      <c r="H64">
        <f>LOOKUP($F64,$A$3:$A$202,C$3:C$202)</f>
        <v/>
      </c>
      <c r="I64">
        <f>LOOKUP($F64,$A$3:$A$202,D$3:D$202)</f>
        <v/>
      </c>
      <c r="J64">
        <f>INT(SQRT((G64-G65)*(G64-G65)+(H64-H65)*(H64-H65)) +0.5)</f>
        <v/>
      </c>
    </row>
    <row r="65">
      <c r="A65" t="n">
        <v>62</v>
      </c>
      <c r="B65" t="n">
        <v>699</v>
      </c>
      <c r="C65" t="n">
        <v>85</v>
      </c>
      <c r="D65" t="n">
        <v>548</v>
      </c>
      <c r="F65" t="n">
        <v>137</v>
      </c>
      <c r="G65">
        <f>LOOKUP($F65,$A$3:$A$202,B$3:B$202)</f>
        <v/>
      </c>
      <c r="H65">
        <f>LOOKUP($F65,$A$3:$A$202,C$3:C$202)</f>
        <v/>
      </c>
      <c r="I65">
        <f>LOOKUP($F65,$A$3:$A$202,D$3:D$202)</f>
        <v/>
      </c>
      <c r="J65">
        <f>INT(SQRT((G65-G66)*(G65-G66)+(H65-H66)*(H65-H66)) +0.5)</f>
        <v/>
      </c>
    </row>
    <row r="66">
      <c r="A66" t="n">
        <v>63</v>
      </c>
      <c r="B66" t="n">
        <v>1497</v>
      </c>
      <c r="C66" t="n">
        <v>1606</v>
      </c>
      <c r="D66" t="n">
        <v>659</v>
      </c>
      <c r="F66" t="n">
        <v>45</v>
      </c>
      <c r="G66">
        <f>LOOKUP($F66,$A$3:$A$202,B$3:B$202)</f>
        <v/>
      </c>
      <c r="H66">
        <f>LOOKUP($F66,$A$3:$A$202,C$3:C$202)</f>
        <v/>
      </c>
      <c r="I66">
        <f>LOOKUP($F66,$A$3:$A$202,D$3:D$202)</f>
        <v/>
      </c>
      <c r="J66">
        <f>INT(SQRT((G66-G67)*(G66-G67)+(H66-H67)*(H66-H67)) +0.5)</f>
        <v/>
      </c>
    </row>
    <row r="67">
      <c r="A67" t="n">
        <v>64</v>
      </c>
      <c r="B67" t="n">
        <v>1367</v>
      </c>
      <c r="C67" t="n">
        <v>816</v>
      </c>
      <c r="D67" t="n">
        <v>329</v>
      </c>
      <c r="F67" t="n">
        <v>175</v>
      </c>
      <c r="G67">
        <f>LOOKUP($F67,$A$3:$A$202,B$3:B$202)</f>
        <v/>
      </c>
      <c r="H67">
        <f>LOOKUP($F67,$A$3:$A$202,C$3:C$202)</f>
        <v/>
      </c>
      <c r="I67">
        <f>LOOKUP($F67,$A$3:$A$202,D$3:D$202)</f>
        <v/>
      </c>
      <c r="J67">
        <f>INT(SQRT((G67-G68)*(G67-G68)+(H67-H68)*(H67-H68)) +0.5)</f>
        <v/>
      </c>
    </row>
    <row r="68">
      <c r="A68" t="n">
        <v>65</v>
      </c>
      <c r="B68" t="n">
        <v>68</v>
      </c>
      <c r="C68" t="n">
        <v>1048</v>
      </c>
      <c r="D68" t="n">
        <v>137</v>
      </c>
      <c r="F68" t="n">
        <v>192</v>
      </c>
      <c r="G68">
        <f>LOOKUP($F68,$A$3:$A$202,B$3:B$202)</f>
        <v/>
      </c>
      <c r="H68">
        <f>LOOKUP($F68,$A$3:$A$202,C$3:C$202)</f>
        <v/>
      </c>
      <c r="I68">
        <f>LOOKUP($F68,$A$3:$A$202,D$3:D$202)</f>
        <v/>
      </c>
      <c r="J68">
        <f>INT(SQRT((G68-G69)*(G68-G69)+(H68-H69)*(H68-H69)) +0.5)</f>
        <v/>
      </c>
    </row>
    <row r="69">
      <c r="A69" t="n">
        <v>66</v>
      </c>
      <c r="B69" t="n">
        <v>2539</v>
      </c>
      <c r="C69" t="n">
        <v>701</v>
      </c>
      <c r="D69" t="n">
        <v>529</v>
      </c>
      <c r="F69" t="n">
        <v>126</v>
      </c>
      <c r="G69">
        <f>LOOKUP($F69,$A$3:$A$202,B$3:B$202)</f>
        <v/>
      </c>
      <c r="H69">
        <f>LOOKUP($F69,$A$3:$A$202,C$3:C$202)</f>
        <v/>
      </c>
      <c r="I69">
        <f>LOOKUP($F69,$A$3:$A$202,D$3:D$202)</f>
        <v/>
      </c>
      <c r="J69">
        <f>INT(SQRT((G69-G70)*(G69-G70)+(H69-H70)*(H69-H70)) +0.5)</f>
        <v/>
      </c>
    </row>
    <row r="70">
      <c r="A70" t="n">
        <v>67</v>
      </c>
      <c r="B70" t="n">
        <v>2509</v>
      </c>
      <c r="C70" t="n">
        <v>591</v>
      </c>
      <c r="D70" t="n">
        <v>206</v>
      </c>
      <c r="F70" t="n">
        <v>110</v>
      </c>
      <c r="G70">
        <f>LOOKUP($F70,$A$3:$A$202,B$3:B$202)</f>
        <v/>
      </c>
      <c r="H70">
        <f>LOOKUP($F70,$A$3:$A$202,C$3:C$202)</f>
        <v/>
      </c>
      <c r="I70">
        <f>LOOKUP($F70,$A$3:$A$202,D$3:D$202)</f>
        <v/>
      </c>
      <c r="J70">
        <f>INT(SQRT((G70-G71)*(G70-G71)+(H70-H71)*(H70-H71)) +0.5)</f>
        <v/>
      </c>
    </row>
    <row r="71">
      <c r="A71" t="n">
        <v>68</v>
      </c>
      <c r="B71" t="n">
        <v>3862</v>
      </c>
      <c r="C71" t="n">
        <v>249</v>
      </c>
      <c r="D71" t="n">
        <v>869</v>
      </c>
      <c r="F71" t="n">
        <v>76</v>
      </c>
      <c r="G71">
        <f>LOOKUP($F71,$A$3:$A$202,B$3:B$202)</f>
        <v/>
      </c>
      <c r="H71">
        <f>LOOKUP($F71,$A$3:$A$202,C$3:C$202)</f>
        <v/>
      </c>
      <c r="I71">
        <f>LOOKUP($F71,$A$3:$A$202,D$3:D$202)</f>
        <v/>
      </c>
      <c r="J71">
        <f>INT(SQRT((G71-G72)*(G71-G72)+(H71-H72)*(H71-H72)) +0.5)</f>
        <v/>
      </c>
    </row>
    <row r="72">
      <c r="A72" t="n">
        <v>69</v>
      </c>
      <c r="B72" t="n">
        <v>1658</v>
      </c>
      <c r="C72" t="n">
        <v>1165</v>
      </c>
      <c r="D72" t="n">
        <v>29</v>
      </c>
      <c r="F72" t="n">
        <v>162</v>
      </c>
      <c r="G72">
        <f>LOOKUP($F72,$A$3:$A$202,B$3:B$202)</f>
        <v/>
      </c>
      <c r="H72">
        <f>LOOKUP($F72,$A$3:$A$202,C$3:C$202)</f>
        <v/>
      </c>
      <c r="I72">
        <f>LOOKUP($F72,$A$3:$A$202,D$3:D$202)</f>
        <v/>
      </c>
      <c r="J72">
        <f>INT(SQRT((G72-G73)*(G72-G73)+(H72-H73)*(H72-H73)) +0.5)</f>
        <v/>
      </c>
    </row>
    <row r="73">
      <c r="A73" t="n">
        <v>70</v>
      </c>
      <c r="B73" t="n">
        <v>3344</v>
      </c>
      <c r="C73" t="n">
        <v>1834</v>
      </c>
      <c r="D73" t="n">
        <v>345</v>
      </c>
      <c r="F73" t="n">
        <v>174</v>
      </c>
      <c r="G73">
        <f>LOOKUP($F73,$A$3:$A$202,B$3:B$202)</f>
        <v/>
      </c>
      <c r="H73">
        <f>LOOKUP($F73,$A$3:$A$202,C$3:C$202)</f>
        <v/>
      </c>
      <c r="I73">
        <f>LOOKUP($F73,$A$3:$A$202,D$3:D$202)</f>
        <v/>
      </c>
      <c r="J73">
        <f>INT(SQRT((G73-G74)*(G73-G74)+(H73-H74)*(H73-H74)) +0.5)</f>
        <v/>
      </c>
    </row>
    <row r="74">
      <c r="A74" t="n">
        <v>71</v>
      </c>
      <c r="B74" t="n">
        <v>956</v>
      </c>
      <c r="C74" t="n">
        <v>481</v>
      </c>
      <c r="D74" t="n">
        <v>250</v>
      </c>
      <c r="F74" t="n">
        <v>101</v>
      </c>
      <c r="G74">
        <f>LOOKUP($F74,$A$3:$A$202,B$3:B$202)</f>
        <v/>
      </c>
      <c r="H74">
        <f>LOOKUP($F74,$A$3:$A$202,C$3:C$202)</f>
        <v/>
      </c>
      <c r="I74">
        <f>LOOKUP($F74,$A$3:$A$202,D$3:D$202)</f>
        <v/>
      </c>
      <c r="J74">
        <f>INT(SQRT((G74-G75)*(G74-G75)+(H74-H75)*(H74-H75)) +0.5)</f>
        <v/>
      </c>
    </row>
    <row r="75">
      <c r="A75" t="n">
        <v>72</v>
      </c>
      <c r="B75" t="n">
        <v>2019</v>
      </c>
      <c r="C75" t="n">
        <v>1471</v>
      </c>
      <c r="D75" t="n">
        <v>195</v>
      </c>
      <c r="F75" t="n">
        <v>106</v>
      </c>
      <c r="G75">
        <f>LOOKUP($F75,$A$3:$A$202,B$3:B$202)</f>
        <v/>
      </c>
      <c r="H75">
        <f>LOOKUP($F75,$A$3:$A$202,C$3:C$202)</f>
        <v/>
      </c>
      <c r="I75">
        <f>LOOKUP($F75,$A$3:$A$202,D$3:D$202)</f>
        <v/>
      </c>
      <c r="J75">
        <f>INT(SQRT((G75-G76)*(G75-G76)+(H75-H76)*(H75-H76)) +0.5)</f>
        <v/>
      </c>
    </row>
    <row r="76">
      <c r="A76" t="n">
        <v>73</v>
      </c>
      <c r="B76" t="n">
        <v>1884</v>
      </c>
      <c r="C76" t="n">
        <v>483</v>
      </c>
      <c r="D76" t="n">
        <v>457</v>
      </c>
      <c r="F76" t="n">
        <v>12</v>
      </c>
      <c r="G76">
        <f>LOOKUP($F76,$A$3:$A$202,B$3:B$202)</f>
        <v/>
      </c>
      <c r="H76">
        <f>LOOKUP($F76,$A$3:$A$202,C$3:C$202)</f>
        <v/>
      </c>
      <c r="I76">
        <f>LOOKUP($F76,$A$3:$A$202,D$3:D$202)</f>
        <v/>
      </c>
      <c r="J76">
        <f>INT(SQRT((G76-G77)*(G76-G77)+(H76-H77)*(H76-H77)) +0.5)</f>
        <v/>
      </c>
    </row>
    <row r="77">
      <c r="A77" t="n">
        <v>74</v>
      </c>
      <c r="B77" t="n">
        <v>3293</v>
      </c>
      <c r="C77" t="n">
        <v>234</v>
      </c>
      <c r="D77" t="n">
        <v>361</v>
      </c>
      <c r="F77" t="n">
        <v>178</v>
      </c>
      <c r="G77">
        <f>LOOKUP($F77,$A$3:$A$202,B$3:B$202)</f>
        <v/>
      </c>
      <c r="H77">
        <f>LOOKUP($F77,$A$3:$A$202,C$3:C$202)</f>
        <v/>
      </c>
      <c r="I77">
        <f>LOOKUP($F77,$A$3:$A$202,D$3:D$202)</f>
        <v/>
      </c>
      <c r="J77">
        <f>INT(SQRT((G77-G78)*(G77-G78)+(H77-H78)*(H77-H78)) +0.5)</f>
        <v/>
      </c>
    </row>
    <row r="78">
      <c r="A78" t="n">
        <v>75</v>
      </c>
      <c r="B78" t="n">
        <v>2307</v>
      </c>
      <c r="C78" t="n">
        <v>1190</v>
      </c>
      <c r="D78" t="n">
        <v>790</v>
      </c>
      <c r="F78" t="n">
        <v>60</v>
      </c>
      <c r="G78">
        <f>LOOKUP($F78,$A$3:$A$202,B$3:B$202)</f>
        <v/>
      </c>
      <c r="H78">
        <f>LOOKUP($F78,$A$3:$A$202,C$3:C$202)</f>
        <v/>
      </c>
      <c r="I78">
        <f>LOOKUP($F78,$A$3:$A$202,D$3:D$202)</f>
        <v/>
      </c>
      <c r="J78">
        <f>INT(SQRT((G78-G79)*(G78-G79)+(H78-H79)*(H78-H79)) +0.5)</f>
        <v/>
      </c>
    </row>
    <row r="79">
      <c r="A79" t="n">
        <v>76</v>
      </c>
      <c r="B79" t="n">
        <v>2524</v>
      </c>
      <c r="C79" t="n">
        <v>1187</v>
      </c>
      <c r="D79" t="n">
        <v>99</v>
      </c>
      <c r="F79" t="n">
        <v>48</v>
      </c>
      <c r="G79">
        <f>LOOKUP($F79,$A$3:$A$202,B$3:B$202)</f>
        <v/>
      </c>
      <c r="H79">
        <f>LOOKUP($F79,$A$3:$A$202,C$3:C$202)</f>
        <v/>
      </c>
      <c r="I79">
        <f>LOOKUP($F79,$A$3:$A$202,D$3:D$202)</f>
        <v/>
      </c>
      <c r="J79">
        <f>INT(SQRT((G79-G80)*(G79-G80)+(H79-H80)*(H79-H80)) +0.5)</f>
        <v/>
      </c>
    </row>
    <row r="80">
      <c r="A80" t="n">
        <v>77</v>
      </c>
      <c r="B80" t="n">
        <v>2813</v>
      </c>
      <c r="C80" t="n">
        <v>1604</v>
      </c>
      <c r="D80" t="n">
        <v>788</v>
      </c>
      <c r="F80" t="n">
        <v>150</v>
      </c>
      <c r="G80">
        <f>LOOKUP($F80,$A$3:$A$202,B$3:B$202)</f>
        <v/>
      </c>
      <c r="H80">
        <f>LOOKUP($F80,$A$3:$A$202,C$3:C$202)</f>
        <v/>
      </c>
      <c r="I80">
        <f>LOOKUP($F80,$A$3:$A$202,D$3:D$202)</f>
        <v/>
      </c>
      <c r="J80">
        <f>INT(SQRT((G80-G81)*(G80-G81)+(H80-H81)*(H80-H81)) +0.5)</f>
        <v/>
      </c>
    </row>
    <row r="81">
      <c r="A81" t="n">
        <v>78</v>
      </c>
      <c r="B81" t="n">
        <v>3371</v>
      </c>
      <c r="C81" t="n">
        <v>1148</v>
      </c>
      <c r="D81" t="n">
        <v>603</v>
      </c>
      <c r="F81" t="n">
        <v>51</v>
      </c>
      <c r="G81">
        <f>LOOKUP($F81,$A$3:$A$202,B$3:B$202)</f>
        <v/>
      </c>
      <c r="H81">
        <f>LOOKUP($F81,$A$3:$A$202,C$3:C$202)</f>
        <v/>
      </c>
      <c r="I81">
        <f>LOOKUP($F81,$A$3:$A$202,D$3:D$202)</f>
        <v/>
      </c>
      <c r="J81">
        <f>INT(SQRT((G81-G82)*(G81-G82)+(H81-H82)*(H81-H82)) +0.5)</f>
        <v/>
      </c>
    </row>
    <row r="82">
      <c r="A82" t="n">
        <v>79</v>
      </c>
      <c r="B82" t="n">
        <v>2421</v>
      </c>
      <c r="C82" t="n">
        <v>1479</v>
      </c>
      <c r="D82" t="n">
        <v>711</v>
      </c>
      <c r="F82" t="n">
        <v>181</v>
      </c>
      <c r="G82">
        <f>LOOKUP($F82,$A$3:$A$202,B$3:B$202)</f>
        <v/>
      </c>
      <c r="H82">
        <f>LOOKUP($F82,$A$3:$A$202,C$3:C$202)</f>
        <v/>
      </c>
      <c r="I82">
        <f>LOOKUP($F82,$A$3:$A$202,D$3:D$202)</f>
        <v/>
      </c>
      <c r="J82">
        <f>INT(SQRT((G82-G83)*(G82-G83)+(H82-H83)*(H82-H83)) +0.5)</f>
        <v/>
      </c>
    </row>
    <row r="83">
      <c r="A83" t="n">
        <v>80</v>
      </c>
      <c r="B83" t="n">
        <v>3178</v>
      </c>
      <c r="C83" t="n">
        <v>697</v>
      </c>
      <c r="D83" t="n">
        <v>311</v>
      </c>
      <c r="F83" t="n">
        <v>58</v>
      </c>
      <c r="G83">
        <f>LOOKUP($F83,$A$3:$A$202,B$3:B$202)</f>
        <v/>
      </c>
      <c r="H83">
        <f>LOOKUP($F83,$A$3:$A$202,C$3:C$202)</f>
        <v/>
      </c>
      <c r="I83">
        <f>LOOKUP($F83,$A$3:$A$202,D$3:D$202)</f>
        <v/>
      </c>
      <c r="J83">
        <f>INT(SQRT((G83-G84)*(G83-G84)+(H83-H84)*(H83-H84)) +0.5)</f>
        <v/>
      </c>
    </row>
    <row r="84">
      <c r="A84" t="n">
        <v>81</v>
      </c>
      <c r="B84" t="n">
        <v>3802</v>
      </c>
      <c r="C84" t="n">
        <v>1939</v>
      </c>
      <c r="D84" t="n">
        <v>447</v>
      </c>
      <c r="F84" t="n">
        <v>87</v>
      </c>
      <c r="G84">
        <f>LOOKUP($F84,$A$3:$A$202,B$3:B$202)</f>
        <v/>
      </c>
      <c r="H84">
        <f>LOOKUP($F84,$A$3:$A$202,C$3:C$202)</f>
        <v/>
      </c>
      <c r="I84">
        <f>LOOKUP($F84,$A$3:$A$202,D$3:D$202)</f>
        <v/>
      </c>
      <c r="J84">
        <f>INT(SQRT((G84-G85)*(G84-G85)+(H84-H85)*(H84-H85)) +0.5)</f>
        <v/>
      </c>
    </row>
    <row r="85">
      <c r="A85" t="n">
        <v>82</v>
      </c>
      <c r="B85" t="n">
        <v>2106</v>
      </c>
      <c r="C85" t="n">
        <v>77</v>
      </c>
      <c r="D85" t="n">
        <v>372</v>
      </c>
      <c r="F85" t="n">
        <v>3</v>
      </c>
      <c r="G85">
        <f>LOOKUP($F85,$A$3:$A$202,B$3:B$202)</f>
        <v/>
      </c>
      <c r="H85">
        <f>LOOKUP($F85,$A$3:$A$202,C$3:C$202)</f>
        <v/>
      </c>
      <c r="I85">
        <f>LOOKUP($F85,$A$3:$A$202,D$3:D$202)</f>
        <v/>
      </c>
      <c r="J85">
        <f>INT(SQRT((G85-G86)*(G85-G86)+(H85-H86)*(H85-H86)) +0.5)</f>
        <v/>
      </c>
    </row>
    <row r="86">
      <c r="A86" t="n">
        <v>83</v>
      </c>
      <c r="B86" t="n">
        <v>2395</v>
      </c>
      <c r="C86" t="n">
        <v>1741</v>
      </c>
      <c r="D86" t="n">
        <v>944</v>
      </c>
      <c r="F86" t="n">
        <v>31</v>
      </c>
      <c r="G86">
        <f>LOOKUP($F86,$A$3:$A$202,B$3:B$202)</f>
        <v/>
      </c>
      <c r="H86">
        <f>LOOKUP($F86,$A$3:$A$202,C$3:C$202)</f>
        <v/>
      </c>
      <c r="I86">
        <f>LOOKUP($F86,$A$3:$A$202,D$3:D$202)</f>
        <v/>
      </c>
      <c r="J86">
        <f>INT(SQRT((G86-G87)*(G86-G87)+(H86-H87)*(H86-H87)) +0.5)</f>
        <v/>
      </c>
    </row>
    <row r="87">
      <c r="A87" t="n">
        <v>84</v>
      </c>
      <c r="B87" t="n">
        <v>2680</v>
      </c>
      <c r="C87" t="n">
        <v>689</v>
      </c>
      <c r="D87" t="n">
        <v>656</v>
      </c>
      <c r="F87" t="n">
        <v>99</v>
      </c>
      <c r="G87">
        <f>LOOKUP($F87,$A$3:$A$202,B$3:B$202)</f>
        <v/>
      </c>
      <c r="H87">
        <f>LOOKUP($F87,$A$3:$A$202,C$3:C$202)</f>
        <v/>
      </c>
      <c r="I87">
        <f>LOOKUP($F87,$A$3:$A$202,D$3:D$202)</f>
        <v/>
      </c>
      <c r="J87">
        <f>INT(SQRT((G87-G88)*(G87-G88)+(H87-H88)*(H87-H88)) +0.5)</f>
        <v/>
      </c>
    </row>
    <row r="88">
      <c r="A88" t="n">
        <v>85</v>
      </c>
      <c r="B88" t="n">
        <v>1791</v>
      </c>
      <c r="C88" t="n">
        <v>338</v>
      </c>
      <c r="D88" t="n">
        <v>99</v>
      </c>
      <c r="F88" t="n">
        <v>129</v>
      </c>
      <c r="G88">
        <f>LOOKUP($F88,$A$3:$A$202,B$3:B$202)</f>
        <v/>
      </c>
      <c r="H88">
        <f>LOOKUP($F88,$A$3:$A$202,C$3:C$202)</f>
        <v/>
      </c>
      <c r="I88">
        <f>LOOKUP($F88,$A$3:$A$202,D$3:D$202)</f>
        <v/>
      </c>
      <c r="J88">
        <f>INT(SQRT((G88-G89)*(G88-G89)+(H88-H89)*(H88-H89)) +0.5)</f>
        <v/>
      </c>
    </row>
    <row r="89">
      <c r="A89" t="n">
        <v>86</v>
      </c>
      <c r="B89" t="n">
        <v>2153</v>
      </c>
      <c r="C89" t="n">
        <v>1403</v>
      </c>
      <c r="D89" t="n">
        <v>533</v>
      </c>
      <c r="F89" t="n">
        <v>28</v>
      </c>
      <c r="G89">
        <f>LOOKUP($F89,$A$3:$A$202,B$3:B$202)</f>
        <v/>
      </c>
      <c r="H89">
        <f>LOOKUP($F89,$A$3:$A$202,C$3:C$202)</f>
        <v/>
      </c>
      <c r="I89">
        <f>LOOKUP($F89,$A$3:$A$202,D$3:D$202)</f>
        <v/>
      </c>
      <c r="J89">
        <f>INT(SQRT((G89-G90)*(G89-G90)+(H89-H90)*(H89-H90)) +0.5)</f>
        <v/>
      </c>
    </row>
    <row r="90">
      <c r="A90" t="n">
        <v>87</v>
      </c>
      <c r="B90" t="n">
        <v>2143</v>
      </c>
      <c r="C90" t="n">
        <v>102</v>
      </c>
      <c r="D90" t="n">
        <v>99</v>
      </c>
      <c r="F90" t="n">
        <v>93</v>
      </c>
      <c r="G90">
        <f>LOOKUP($F90,$A$3:$A$202,B$3:B$202)</f>
        <v/>
      </c>
      <c r="H90">
        <f>LOOKUP($F90,$A$3:$A$202,C$3:C$202)</f>
        <v/>
      </c>
      <c r="I90">
        <f>LOOKUP($F90,$A$3:$A$202,D$3:D$202)</f>
        <v/>
      </c>
      <c r="J90">
        <f>INT(SQRT((G90-G91)*(G90-G91)+(H90-H91)*(H90-H91)) +0.5)</f>
        <v/>
      </c>
    </row>
    <row r="91">
      <c r="A91" t="n">
        <v>88</v>
      </c>
      <c r="B91" t="n">
        <v>2353</v>
      </c>
      <c r="C91" t="n">
        <v>151</v>
      </c>
      <c r="D91" t="n">
        <v>481</v>
      </c>
      <c r="F91" t="n">
        <v>128</v>
      </c>
      <c r="G91">
        <f>LOOKUP($F91,$A$3:$A$202,B$3:B$202)</f>
        <v/>
      </c>
      <c r="H91">
        <f>LOOKUP($F91,$A$3:$A$202,C$3:C$202)</f>
        <v/>
      </c>
      <c r="I91">
        <f>LOOKUP($F91,$A$3:$A$202,D$3:D$202)</f>
        <v/>
      </c>
      <c r="J91">
        <f>INT(SQRT((G91-G92)*(G91-G92)+(H91-H92)*(H91-H92)) +0.5)</f>
        <v/>
      </c>
    </row>
    <row r="92">
      <c r="A92" t="n">
        <v>89</v>
      </c>
      <c r="B92" t="n">
        <v>2193</v>
      </c>
      <c r="C92" t="n">
        <v>1860</v>
      </c>
      <c r="D92" t="n">
        <v>14</v>
      </c>
      <c r="F92" t="n">
        <v>143</v>
      </c>
      <c r="G92">
        <f>LOOKUP($F92,$A$3:$A$202,B$3:B$202)</f>
        <v/>
      </c>
      <c r="H92">
        <f>LOOKUP($F92,$A$3:$A$202,C$3:C$202)</f>
        <v/>
      </c>
      <c r="I92">
        <f>LOOKUP($F92,$A$3:$A$202,D$3:D$202)</f>
        <v/>
      </c>
      <c r="J92">
        <f>INT(SQRT((G92-G93)*(G92-G93)+(H92-H93)*(H92-H93)) +0.5)</f>
        <v/>
      </c>
    </row>
    <row r="93">
      <c r="A93" t="n">
        <v>90</v>
      </c>
      <c r="B93" t="n">
        <v>3394</v>
      </c>
      <c r="C93" t="n">
        <v>683</v>
      </c>
      <c r="D93" t="n">
        <v>75</v>
      </c>
      <c r="F93" t="n">
        <v>122</v>
      </c>
      <c r="G93">
        <f>LOOKUP($F93,$A$3:$A$202,B$3:B$202)</f>
        <v/>
      </c>
      <c r="H93">
        <f>LOOKUP($F93,$A$3:$A$202,C$3:C$202)</f>
        <v/>
      </c>
      <c r="I93">
        <f>LOOKUP($F93,$A$3:$A$202,D$3:D$202)</f>
        <v/>
      </c>
      <c r="J93">
        <f>INT(SQRT((G93-G94)*(G93-G94)+(H93-H94)*(H93-H94)) +0.5)</f>
        <v/>
      </c>
    </row>
    <row r="94">
      <c r="A94" t="n">
        <v>91</v>
      </c>
      <c r="B94" t="n">
        <v>652</v>
      </c>
      <c r="C94" t="n">
        <v>243</v>
      </c>
      <c r="D94" t="n">
        <v>789</v>
      </c>
      <c r="F94" t="n">
        <v>80</v>
      </c>
      <c r="G94">
        <f>LOOKUP($F94,$A$3:$A$202,B$3:B$202)</f>
        <v/>
      </c>
      <c r="H94">
        <f>LOOKUP($F94,$A$3:$A$202,C$3:C$202)</f>
        <v/>
      </c>
      <c r="I94">
        <f>LOOKUP($F94,$A$3:$A$202,D$3:D$202)</f>
        <v/>
      </c>
      <c r="J94">
        <f>INT(SQRT((G94-G95)*(G94-G95)+(H94-H95)*(H94-H95)) +0.5)</f>
        <v/>
      </c>
    </row>
    <row r="95">
      <c r="A95" t="n">
        <v>92</v>
      </c>
      <c r="B95" t="n">
        <v>1843</v>
      </c>
      <c r="C95" t="n">
        <v>1467</v>
      </c>
      <c r="D95" t="n">
        <v>841</v>
      </c>
      <c r="F95" t="n">
        <v>43</v>
      </c>
      <c r="G95">
        <f>LOOKUP($F95,$A$3:$A$202,B$3:B$202)</f>
        <v/>
      </c>
      <c r="H95">
        <f>LOOKUP($F95,$A$3:$A$202,C$3:C$202)</f>
        <v/>
      </c>
      <c r="I95">
        <f>LOOKUP($F95,$A$3:$A$202,D$3:D$202)</f>
        <v/>
      </c>
      <c r="J95">
        <f>INT(SQRT((G95-G96)*(G95-G96)+(H95-H96)*(H95-H96)) +0.5)</f>
        <v/>
      </c>
    </row>
    <row r="96">
      <c r="A96" t="n">
        <v>93</v>
      </c>
      <c r="B96" t="n">
        <v>3770</v>
      </c>
      <c r="C96" t="n">
        <v>26</v>
      </c>
      <c r="D96" t="n">
        <v>715</v>
      </c>
      <c r="F96" t="n">
        <v>109</v>
      </c>
      <c r="G96">
        <f>LOOKUP($F96,$A$3:$A$202,B$3:B$202)</f>
        <v/>
      </c>
      <c r="H96">
        <f>LOOKUP($F96,$A$3:$A$202,C$3:C$202)</f>
        <v/>
      </c>
      <c r="I96">
        <f>LOOKUP($F96,$A$3:$A$202,D$3:D$202)</f>
        <v/>
      </c>
      <c r="J96">
        <f>INT(SQRT((G96-G97)*(G96-G97)+(H96-H97)*(H96-H97)) +0.5)</f>
        <v/>
      </c>
    </row>
    <row r="97">
      <c r="A97" t="n">
        <v>94</v>
      </c>
      <c r="B97" t="n">
        <v>3835</v>
      </c>
      <c r="C97" t="n">
        <v>1965</v>
      </c>
      <c r="D97" t="n">
        <v>291</v>
      </c>
      <c r="F97" t="n">
        <v>164</v>
      </c>
      <c r="G97">
        <f>LOOKUP($F97,$A$3:$A$202,B$3:B$202)</f>
        <v/>
      </c>
      <c r="H97">
        <f>LOOKUP($F97,$A$3:$A$202,C$3:C$202)</f>
        <v/>
      </c>
      <c r="I97">
        <f>LOOKUP($F97,$A$3:$A$202,D$3:D$202)</f>
        <v/>
      </c>
      <c r="J97">
        <f>INT(SQRT((G97-G98)*(G97-G98)+(H97-H98)*(H97-H98)) +0.5)</f>
        <v/>
      </c>
    </row>
    <row r="98">
      <c r="A98" t="n">
        <v>95</v>
      </c>
      <c r="B98" t="n">
        <v>1885</v>
      </c>
      <c r="C98" t="n">
        <v>1322</v>
      </c>
      <c r="D98" t="n">
        <v>896</v>
      </c>
      <c r="F98" t="n">
        <v>160</v>
      </c>
      <c r="G98">
        <f>LOOKUP($F98,$A$3:$A$202,B$3:B$202)</f>
        <v/>
      </c>
      <c r="H98">
        <f>LOOKUP($F98,$A$3:$A$202,C$3:C$202)</f>
        <v/>
      </c>
      <c r="I98">
        <f>LOOKUP($F98,$A$3:$A$202,D$3:D$202)</f>
        <v/>
      </c>
      <c r="J98">
        <f>INT(SQRT((G98-G99)*(G98-G99)+(H98-H99)*(H98-H99)) +0.5)</f>
        <v/>
      </c>
    </row>
    <row r="99">
      <c r="A99" t="n">
        <v>96</v>
      </c>
      <c r="B99" t="n">
        <v>1619</v>
      </c>
      <c r="C99" t="n">
        <v>1831</v>
      </c>
      <c r="D99" t="n">
        <v>43</v>
      </c>
      <c r="F99" t="n">
        <v>0</v>
      </c>
      <c r="G99">
        <f>LOOKUP($F99,$A$3:$A$202,B$3:B$202)</f>
        <v/>
      </c>
      <c r="H99">
        <f>LOOKUP($F99,$A$3:$A$202,C$3:C$202)</f>
        <v/>
      </c>
      <c r="I99">
        <f>LOOKUP($F99,$A$3:$A$202,D$3:D$202)</f>
        <v/>
      </c>
      <c r="J99">
        <f>INT(SQRT((G99-G100)*(G99-G100)+(H99-H100)*(H99-H100)) +0.5)</f>
        <v/>
      </c>
    </row>
    <row r="100">
      <c r="A100" t="n">
        <v>97</v>
      </c>
      <c r="B100" t="n">
        <v>912</v>
      </c>
      <c r="C100" t="n">
        <v>817</v>
      </c>
      <c r="D100" t="n">
        <v>448</v>
      </c>
      <c r="F100" t="n">
        <v>42</v>
      </c>
      <c r="G100">
        <f>LOOKUP($F100,$A$3:$A$202,B$3:B$202)</f>
        <v/>
      </c>
      <c r="H100">
        <f>LOOKUP($F100,$A$3:$A$202,C$3:C$202)</f>
        <v/>
      </c>
      <c r="I100">
        <f>LOOKUP($F100,$A$3:$A$202,D$3:D$202)</f>
        <v/>
      </c>
      <c r="J100">
        <f>INT(SQRT((G100-G101)*(G100-G101)+(H100-H101)*(H100-H101)) +0.5)</f>
        <v/>
      </c>
    </row>
    <row r="101">
      <c r="A101" t="n">
        <v>98</v>
      </c>
      <c r="B101" t="n">
        <v>2005</v>
      </c>
      <c r="C101" t="n">
        <v>797</v>
      </c>
      <c r="D101" t="n">
        <v>566</v>
      </c>
      <c r="F101" t="n">
        <v>8</v>
      </c>
      <c r="G101">
        <f>LOOKUP($F101,$A$3:$A$202,B$3:B$202)</f>
        <v/>
      </c>
      <c r="H101">
        <f>LOOKUP($F101,$A$3:$A$202,C$3:C$202)</f>
        <v/>
      </c>
      <c r="I101">
        <f>LOOKUP($F101,$A$3:$A$202,D$3:D$202)</f>
        <v/>
      </c>
      <c r="J101">
        <f>INT(SQRT((G101-G102)*(G101-G102)+(H101-H102)*(H101-H102)) +0.5)</f>
        <v/>
      </c>
    </row>
    <row r="102">
      <c r="A102" t="n">
        <v>99</v>
      </c>
      <c r="B102" t="n">
        <v>2759</v>
      </c>
      <c r="C102" t="n">
        <v>142</v>
      </c>
      <c r="D102" t="n">
        <v>343</v>
      </c>
      <c r="F102" t="n">
        <v>16</v>
      </c>
      <c r="G102">
        <f>LOOKUP($F102,$A$3:$A$202,B$3:B$202)</f>
        <v/>
      </c>
      <c r="H102">
        <f>LOOKUP($F102,$A$3:$A$202,C$3:C$202)</f>
        <v/>
      </c>
      <c r="I102">
        <f>LOOKUP($F102,$A$3:$A$202,D$3:D$202)</f>
        <v/>
      </c>
      <c r="J102">
        <f>INT(SQRT((G102-G103)*(G102-G103)+(H102-H103)*(H102-H103)) +0.5)</f>
        <v/>
      </c>
    </row>
    <row r="103">
      <c r="A103" t="n">
        <v>100</v>
      </c>
      <c r="B103" t="n">
        <v>3902</v>
      </c>
      <c r="C103" t="n">
        <v>178</v>
      </c>
      <c r="D103" t="n">
        <v>986</v>
      </c>
      <c r="F103">
        <f>F3</f>
        <v/>
      </c>
      <c r="G103">
        <f>LOOKUP($F103,$A$3:$A$202,B$3:B$202)</f>
        <v/>
      </c>
      <c r="H103">
        <f>LOOKUP($F103,$A$3:$A$202,C$3:C$202)</f>
        <v/>
      </c>
      <c r="I103">
        <f>LOOKUP($F103,$A$3:$A$202,D$3:D$202)</f>
        <v/>
      </c>
    </row>
    <row r="104">
      <c r="A104" t="n">
        <v>101</v>
      </c>
      <c r="B104" t="n">
        <v>1802</v>
      </c>
      <c r="C104" t="n">
        <v>357</v>
      </c>
      <c r="D104" t="n">
        <v>958</v>
      </c>
    </row>
    <row r="105">
      <c r="A105" t="n">
        <v>102</v>
      </c>
      <c r="B105" t="n">
        <v>465</v>
      </c>
      <c r="C105" t="n">
        <v>733</v>
      </c>
      <c r="D105" t="n">
        <v>876</v>
      </c>
    </row>
    <row r="106">
      <c r="A106" t="n">
        <v>103</v>
      </c>
      <c r="B106" t="n">
        <v>347</v>
      </c>
      <c r="C106" t="n">
        <v>652</v>
      </c>
      <c r="D106" t="n">
        <v>591</v>
      </c>
    </row>
    <row r="107">
      <c r="A107" t="n">
        <v>104</v>
      </c>
      <c r="B107" t="n">
        <v>2797</v>
      </c>
      <c r="C107" t="n">
        <v>1382</v>
      </c>
      <c r="D107" t="n">
        <v>409</v>
      </c>
    </row>
    <row r="108">
      <c r="A108" t="n">
        <v>105</v>
      </c>
      <c r="B108" t="n">
        <v>3889</v>
      </c>
      <c r="C108" t="n">
        <v>1940</v>
      </c>
      <c r="D108" t="n">
        <v>139</v>
      </c>
    </row>
    <row r="109">
      <c r="A109" t="n">
        <v>106</v>
      </c>
      <c r="B109" t="n">
        <v>2953</v>
      </c>
      <c r="C109" t="n">
        <v>872</v>
      </c>
      <c r="D109" t="n">
        <v>914</v>
      </c>
    </row>
    <row r="110">
      <c r="A110" t="n">
        <v>107</v>
      </c>
      <c r="B110" t="n">
        <v>1722</v>
      </c>
      <c r="C110" t="n">
        <v>379</v>
      </c>
      <c r="D110" t="n">
        <v>865</v>
      </c>
    </row>
    <row r="111">
      <c r="A111" t="n">
        <v>108</v>
      </c>
      <c r="B111" t="n">
        <v>268</v>
      </c>
      <c r="C111" t="n">
        <v>158</v>
      </c>
      <c r="D111" t="n">
        <v>982</v>
      </c>
    </row>
    <row r="112">
      <c r="A112" t="n">
        <v>109</v>
      </c>
      <c r="B112" t="n">
        <v>1977</v>
      </c>
      <c r="C112" t="n">
        <v>1265</v>
      </c>
      <c r="D112" t="n">
        <v>913</v>
      </c>
    </row>
    <row r="113">
      <c r="A113" t="n">
        <v>110</v>
      </c>
      <c r="B113" t="n">
        <v>3952</v>
      </c>
      <c r="C113" t="n">
        <v>198</v>
      </c>
      <c r="D113" t="n">
        <v>16</v>
      </c>
    </row>
    <row r="114">
      <c r="A114" t="n">
        <v>111</v>
      </c>
      <c r="B114" t="n">
        <v>2073</v>
      </c>
      <c r="C114" t="n">
        <v>915</v>
      </c>
      <c r="D114" t="n">
        <v>712</v>
      </c>
    </row>
    <row r="115">
      <c r="A115" t="n">
        <v>112</v>
      </c>
      <c r="B115" t="n">
        <v>3960</v>
      </c>
      <c r="C115" t="n">
        <v>138</v>
      </c>
      <c r="D115" t="n">
        <v>968</v>
      </c>
    </row>
    <row r="116">
      <c r="A116" t="n">
        <v>113</v>
      </c>
      <c r="B116" t="n">
        <v>723</v>
      </c>
      <c r="C116" t="n">
        <v>511</v>
      </c>
      <c r="D116" t="n">
        <v>841</v>
      </c>
    </row>
    <row r="117">
      <c r="A117" t="n">
        <v>114</v>
      </c>
      <c r="B117" t="n">
        <v>3614</v>
      </c>
      <c r="C117" t="n">
        <v>1351</v>
      </c>
      <c r="D117" t="n">
        <v>99</v>
      </c>
    </row>
    <row r="118">
      <c r="A118" t="n">
        <v>115</v>
      </c>
      <c r="B118" t="n">
        <v>707</v>
      </c>
      <c r="C118" t="n">
        <v>710</v>
      </c>
      <c r="D118" t="n">
        <v>470</v>
      </c>
    </row>
    <row r="119">
      <c r="A119" t="n">
        <v>116</v>
      </c>
      <c r="B119" t="n">
        <v>685</v>
      </c>
      <c r="C119" t="n">
        <v>1979</v>
      </c>
      <c r="D119" t="n">
        <v>92</v>
      </c>
    </row>
    <row r="120">
      <c r="A120" t="n">
        <v>117</v>
      </c>
      <c r="B120" t="n">
        <v>1820</v>
      </c>
      <c r="C120" t="n">
        <v>1322</v>
      </c>
      <c r="D120" t="n">
        <v>475</v>
      </c>
    </row>
    <row r="121">
      <c r="A121" t="n">
        <v>118</v>
      </c>
      <c r="B121" t="n">
        <v>3788</v>
      </c>
      <c r="C121" t="n">
        <v>537</v>
      </c>
      <c r="D121" t="n">
        <v>466</v>
      </c>
    </row>
    <row r="122">
      <c r="A122" t="n">
        <v>119</v>
      </c>
      <c r="B122" t="n">
        <v>2616</v>
      </c>
      <c r="C122" t="n">
        <v>648</v>
      </c>
      <c r="D122" t="n">
        <v>845</v>
      </c>
    </row>
    <row r="123">
      <c r="A123" t="n">
        <v>120</v>
      </c>
      <c r="B123" t="n">
        <v>1728</v>
      </c>
      <c r="C123" t="n">
        <v>1500</v>
      </c>
      <c r="D123" t="n">
        <v>255</v>
      </c>
    </row>
    <row r="124">
      <c r="A124" t="n">
        <v>121</v>
      </c>
      <c r="B124" t="n">
        <v>1439</v>
      </c>
      <c r="C124" t="n">
        <v>1808</v>
      </c>
      <c r="D124" t="n">
        <v>70</v>
      </c>
    </row>
    <row r="125">
      <c r="A125" t="n">
        <v>122</v>
      </c>
      <c r="B125" t="n">
        <v>1905</v>
      </c>
      <c r="C125" t="n">
        <v>1060</v>
      </c>
      <c r="D125" t="n">
        <v>610</v>
      </c>
    </row>
    <row r="126">
      <c r="A126" t="n">
        <v>123</v>
      </c>
      <c r="B126" t="n">
        <v>700</v>
      </c>
      <c r="C126" t="n">
        <v>1534</v>
      </c>
      <c r="D126" t="n">
        <v>910</v>
      </c>
    </row>
    <row r="127">
      <c r="A127" t="n">
        <v>124</v>
      </c>
      <c r="B127" t="n">
        <v>1485</v>
      </c>
      <c r="C127" t="n">
        <v>998</v>
      </c>
      <c r="D127" t="n">
        <v>769</v>
      </c>
    </row>
    <row r="128">
      <c r="A128" t="n">
        <v>125</v>
      </c>
      <c r="B128" t="n">
        <v>686</v>
      </c>
      <c r="C128" t="n">
        <v>961</v>
      </c>
      <c r="D128" t="n">
        <v>248</v>
      </c>
    </row>
    <row r="129">
      <c r="A129" t="n">
        <v>126</v>
      </c>
      <c r="B129" t="n">
        <v>2238</v>
      </c>
      <c r="C129" t="n">
        <v>324</v>
      </c>
      <c r="D129" t="n">
        <v>873</v>
      </c>
    </row>
    <row r="130">
      <c r="A130" t="n">
        <v>127</v>
      </c>
      <c r="B130" t="n">
        <v>3248</v>
      </c>
      <c r="C130" t="n">
        <v>766</v>
      </c>
      <c r="D130" t="n">
        <v>40</v>
      </c>
    </row>
    <row r="131">
      <c r="A131" t="n">
        <v>128</v>
      </c>
      <c r="B131" t="n">
        <v>1802</v>
      </c>
      <c r="C131" t="n">
        <v>1102</v>
      </c>
      <c r="D131" t="n">
        <v>969</v>
      </c>
    </row>
    <row r="132">
      <c r="A132" t="n">
        <v>129</v>
      </c>
      <c r="B132" t="n">
        <v>3314</v>
      </c>
      <c r="C132" t="n">
        <v>697</v>
      </c>
      <c r="D132" t="n">
        <v>84</v>
      </c>
    </row>
    <row r="133">
      <c r="A133" t="n">
        <v>130</v>
      </c>
      <c r="B133" t="n">
        <v>1188</v>
      </c>
      <c r="C133" t="n">
        <v>1458</v>
      </c>
      <c r="D133" t="n">
        <v>406</v>
      </c>
    </row>
    <row r="134">
      <c r="A134" t="n">
        <v>131</v>
      </c>
      <c r="B134" t="n">
        <v>3981</v>
      </c>
      <c r="C134" t="n">
        <v>706</v>
      </c>
      <c r="D134" t="n">
        <v>718</v>
      </c>
    </row>
    <row r="135">
      <c r="A135" t="n">
        <v>132</v>
      </c>
      <c r="B135" t="n">
        <v>384</v>
      </c>
      <c r="C135" t="n">
        <v>505</v>
      </c>
      <c r="D135" t="n">
        <v>238</v>
      </c>
    </row>
    <row r="136">
      <c r="A136" t="n">
        <v>133</v>
      </c>
      <c r="B136" t="n">
        <v>1646</v>
      </c>
      <c r="C136" t="n">
        <v>1376</v>
      </c>
      <c r="D136" t="n">
        <v>254</v>
      </c>
    </row>
    <row r="137">
      <c r="A137" t="n">
        <v>134</v>
      </c>
      <c r="B137" t="n">
        <v>1054</v>
      </c>
      <c r="C137" t="n">
        <v>71</v>
      </c>
      <c r="D137" t="n">
        <v>79</v>
      </c>
    </row>
    <row r="138">
      <c r="A138" t="n">
        <v>135</v>
      </c>
      <c r="B138" t="n">
        <v>2363</v>
      </c>
      <c r="C138" t="n">
        <v>1155</v>
      </c>
      <c r="D138" t="n">
        <v>608</v>
      </c>
    </row>
    <row r="139">
      <c r="A139" t="n">
        <v>136</v>
      </c>
      <c r="B139" t="n">
        <v>1669</v>
      </c>
      <c r="C139" t="n">
        <v>1336</v>
      </c>
      <c r="D139" t="n">
        <v>488</v>
      </c>
    </row>
    <row r="140">
      <c r="A140" t="n">
        <v>137</v>
      </c>
      <c r="B140" t="n">
        <v>2022</v>
      </c>
      <c r="C140" t="n">
        <v>1264</v>
      </c>
      <c r="D140" t="n">
        <v>812</v>
      </c>
    </row>
    <row r="141">
      <c r="A141" t="n">
        <v>138</v>
      </c>
      <c r="B141" t="n">
        <v>534</v>
      </c>
      <c r="C141" t="n">
        <v>1249</v>
      </c>
      <c r="D141" t="n">
        <v>781</v>
      </c>
    </row>
    <row r="142">
      <c r="A142" t="n">
        <v>139</v>
      </c>
      <c r="B142" t="n">
        <v>3778</v>
      </c>
      <c r="C142" t="n">
        <v>1639</v>
      </c>
      <c r="D142" t="n">
        <v>671</v>
      </c>
    </row>
    <row r="143">
      <c r="A143" t="n">
        <v>140</v>
      </c>
      <c r="B143" t="n">
        <v>1044</v>
      </c>
      <c r="C143" t="n">
        <v>974</v>
      </c>
      <c r="D143" t="n">
        <v>111</v>
      </c>
    </row>
    <row r="144">
      <c r="A144" t="n">
        <v>141</v>
      </c>
      <c r="B144" t="n">
        <v>1081</v>
      </c>
      <c r="C144" t="n">
        <v>539</v>
      </c>
      <c r="D144" t="n">
        <v>680</v>
      </c>
    </row>
    <row r="145">
      <c r="A145" t="n">
        <v>142</v>
      </c>
      <c r="B145" t="n">
        <v>1015</v>
      </c>
      <c r="C145" t="n">
        <v>203</v>
      </c>
      <c r="D145" t="n">
        <v>781</v>
      </c>
    </row>
    <row r="146">
      <c r="A146" t="n">
        <v>143</v>
      </c>
      <c r="B146" t="n">
        <v>3699</v>
      </c>
      <c r="C146" t="n">
        <v>1099</v>
      </c>
      <c r="D146" t="n">
        <v>644</v>
      </c>
    </row>
    <row r="147">
      <c r="A147" t="n">
        <v>144</v>
      </c>
      <c r="B147" t="n">
        <v>2705</v>
      </c>
      <c r="C147" t="n">
        <v>1276</v>
      </c>
      <c r="D147" t="n">
        <v>800</v>
      </c>
    </row>
    <row r="148">
      <c r="A148" t="n">
        <v>145</v>
      </c>
      <c r="B148" t="n">
        <v>230</v>
      </c>
      <c r="C148" t="n">
        <v>1379</v>
      </c>
      <c r="D148" t="n">
        <v>289</v>
      </c>
    </row>
    <row r="149">
      <c r="A149" t="n">
        <v>146</v>
      </c>
      <c r="B149" t="n">
        <v>89</v>
      </c>
      <c r="C149" t="n">
        <v>1815</v>
      </c>
      <c r="D149" t="n">
        <v>373</v>
      </c>
    </row>
    <row r="150">
      <c r="A150" t="n">
        <v>147</v>
      </c>
      <c r="B150" t="n">
        <v>839</v>
      </c>
      <c r="C150" t="n">
        <v>1932</v>
      </c>
      <c r="D150" t="n">
        <v>502</v>
      </c>
    </row>
    <row r="151">
      <c r="A151" t="n">
        <v>148</v>
      </c>
      <c r="B151" t="n">
        <v>3751</v>
      </c>
      <c r="C151" t="n">
        <v>1217</v>
      </c>
      <c r="D151" t="n">
        <v>475</v>
      </c>
    </row>
    <row r="152">
      <c r="A152" t="n">
        <v>149</v>
      </c>
      <c r="B152" t="n">
        <v>281</v>
      </c>
      <c r="C152" t="n">
        <v>1620</v>
      </c>
      <c r="D152" t="n">
        <v>62</v>
      </c>
    </row>
    <row r="153">
      <c r="A153" t="n">
        <v>150</v>
      </c>
      <c r="B153" t="n">
        <v>3062</v>
      </c>
      <c r="C153" t="n">
        <v>536</v>
      </c>
      <c r="D153" t="n">
        <v>622</v>
      </c>
    </row>
    <row r="154">
      <c r="A154" t="n">
        <v>151</v>
      </c>
      <c r="B154" t="n">
        <v>1934</v>
      </c>
      <c r="C154" t="n">
        <v>936</v>
      </c>
      <c r="D154" t="n">
        <v>204</v>
      </c>
    </row>
    <row r="155">
      <c r="A155" t="n">
        <v>152</v>
      </c>
      <c r="B155" t="n">
        <v>2154</v>
      </c>
      <c r="C155" t="n">
        <v>521</v>
      </c>
      <c r="D155" t="n">
        <v>430</v>
      </c>
    </row>
    <row r="156">
      <c r="A156" t="n">
        <v>153</v>
      </c>
      <c r="B156" t="n">
        <v>3339</v>
      </c>
      <c r="C156" t="n">
        <v>463</v>
      </c>
      <c r="D156" t="n">
        <v>171</v>
      </c>
    </row>
    <row r="157">
      <c r="A157" t="n">
        <v>154</v>
      </c>
      <c r="B157" t="n">
        <v>966</v>
      </c>
      <c r="C157" t="n">
        <v>1018</v>
      </c>
      <c r="D157" t="n">
        <v>47</v>
      </c>
    </row>
    <row r="158">
      <c r="A158" t="n">
        <v>155</v>
      </c>
      <c r="B158" t="n">
        <v>955</v>
      </c>
      <c r="C158" t="n">
        <v>575</v>
      </c>
      <c r="D158" t="n">
        <v>469</v>
      </c>
    </row>
    <row r="159">
      <c r="A159" t="n">
        <v>156</v>
      </c>
      <c r="B159" t="n">
        <v>1981</v>
      </c>
      <c r="C159" t="n">
        <v>1734</v>
      </c>
      <c r="D159" t="n">
        <v>580</v>
      </c>
    </row>
    <row r="160">
      <c r="A160" t="n">
        <v>157</v>
      </c>
      <c r="B160" t="n">
        <v>1057</v>
      </c>
      <c r="C160" t="n">
        <v>238</v>
      </c>
      <c r="D160" t="n">
        <v>445</v>
      </c>
    </row>
    <row r="161">
      <c r="A161" t="n">
        <v>158</v>
      </c>
      <c r="B161" t="n">
        <v>556</v>
      </c>
      <c r="C161" t="n">
        <v>1362</v>
      </c>
      <c r="D161" t="n">
        <v>266</v>
      </c>
    </row>
    <row r="162">
      <c r="A162" t="n">
        <v>159</v>
      </c>
      <c r="B162" t="n">
        <v>2937</v>
      </c>
      <c r="C162" t="n">
        <v>1102</v>
      </c>
      <c r="D162" t="n">
        <v>933</v>
      </c>
    </row>
    <row r="163">
      <c r="A163" t="n">
        <v>160</v>
      </c>
      <c r="B163" t="n">
        <v>1683</v>
      </c>
      <c r="C163" t="n">
        <v>1197</v>
      </c>
      <c r="D163" t="n">
        <v>412</v>
      </c>
    </row>
    <row r="164">
      <c r="A164" t="n">
        <v>161</v>
      </c>
      <c r="B164" t="n">
        <v>890</v>
      </c>
      <c r="C164" t="n">
        <v>1196</v>
      </c>
      <c r="D164" t="n">
        <v>963</v>
      </c>
    </row>
    <row r="165">
      <c r="A165" t="n">
        <v>162</v>
      </c>
      <c r="B165" t="n">
        <v>2846</v>
      </c>
      <c r="C165" t="n">
        <v>1071</v>
      </c>
      <c r="D165" t="n">
        <v>356</v>
      </c>
    </row>
    <row r="166">
      <c r="A166" t="n">
        <v>163</v>
      </c>
      <c r="B166" t="n">
        <v>2658</v>
      </c>
      <c r="C166" t="n">
        <v>224</v>
      </c>
      <c r="D166" t="n">
        <v>763</v>
      </c>
    </row>
    <row r="167">
      <c r="A167" t="n">
        <v>164</v>
      </c>
      <c r="B167" t="n">
        <v>1823</v>
      </c>
      <c r="C167" t="n">
        <v>1949</v>
      </c>
      <c r="D167" t="n">
        <v>801</v>
      </c>
    </row>
    <row r="168">
      <c r="A168" t="n">
        <v>165</v>
      </c>
      <c r="B168" t="n">
        <v>3590</v>
      </c>
      <c r="C168" t="n">
        <v>1840</v>
      </c>
      <c r="D168" t="n">
        <v>979</v>
      </c>
    </row>
    <row r="169">
      <c r="A169" t="n">
        <v>166</v>
      </c>
      <c r="B169" t="n">
        <v>1930</v>
      </c>
      <c r="C169" t="n">
        <v>1571</v>
      </c>
      <c r="D169" t="n">
        <v>794</v>
      </c>
    </row>
    <row r="170">
      <c r="A170" t="n">
        <v>167</v>
      </c>
      <c r="B170" t="n">
        <v>1948</v>
      </c>
      <c r="C170" t="n">
        <v>447</v>
      </c>
      <c r="D170" t="n">
        <v>253</v>
      </c>
    </row>
    <row r="171">
      <c r="A171" t="n">
        <v>168</v>
      </c>
      <c r="B171" t="n">
        <v>1463</v>
      </c>
      <c r="C171" t="n">
        <v>1249</v>
      </c>
      <c r="D171" t="n">
        <v>683</v>
      </c>
    </row>
    <row r="172">
      <c r="A172" t="n">
        <v>169</v>
      </c>
      <c r="B172" t="n">
        <v>3652</v>
      </c>
      <c r="C172" t="n">
        <v>1850</v>
      </c>
      <c r="D172" t="n">
        <v>679</v>
      </c>
    </row>
    <row r="173">
      <c r="A173" t="n">
        <v>170</v>
      </c>
      <c r="B173" t="n">
        <v>689</v>
      </c>
      <c r="C173" t="n">
        <v>817</v>
      </c>
      <c r="D173" t="n">
        <v>3</v>
      </c>
    </row>
    <row r="174">
      <c r="A174" t="n">
        <v>171</v>
      </c>
      <c r="B174" t="n">
        <v>2897</v>
      </c>
      <c r="C174" t="n">
        <v>33</v>
      </c>
      <c r="D174" t="n">
        <v>55</v>
      </c>
    </row>
    <row r="175">
      <c r="A175" t="n">
        <v>172</v>
      </c>
      <c r="B175" t="n">
        <v>1658</v>
      </c>
      <c r="C175" t="n">
        <v>1294</v>
      </c>
      <c r="D175" t="n">
        <v>205</v>
      </c>
    </row>
    <row r="176">
      <c r="A176" t="n">
        <v>173</v>
      </c>
      <c r="B176" t="n">
        <v>1965</v>
      </c>
      <c r="C176" t="n">
        <v>1071</v>
      </c>
      <c r="D176" t="n">
        <v>738</v>
      </c>
    </row>
    <row r="177">
      <c r="A177" t="n">
        <v>174</v>
      </c>
      <c r="B177" t="n">
        <v>225</v>
      </c>
      <c r="C177" t="n">
        <v>196</v>
      </c>
      <c r="D177" t="n">
        <v>448</v>
      </c>
    </row>
    <row r="178">
      <c r="A178" t="n">
        <v>175</v>
      </c>
      <c r="B178" t="n">
        <v>872</v>
      </c>
      <c r="C178" t="n">
        <v>124</v>
      </c>
      <c r="D178" t="n">
        <v>119</v>
      </c>
    </row>
    <row r="179">
      <c r="A179" t="n">
        <v>176</v>
      </c>
      <c r="B179" t="n">
        <v>1259</v>
      </c>
      <c r="C179" t="n">
        <v>1231</v>
      </c>
      <c r="D179" t="n">
        <v>707</v>
      </c>
    </row>
    <row r="180">
      <c r="A180" t="n">
        <v>177</v>
      </c>
      <c r="B180" t="n">
        <v>580</v>
      </c>
      <c r="C180" t="n">
        <v>945</v>
      </c>
      <c r="D180" t="n">
        <v>469</v>
      </c>
    </row>
    <row r="181">
      <c r="A181" t="n">
        <v>178</v>
      </c>
      <c r="B181" t="n">
        <v>276</v>
      </c>
      <c r="C181" t="n">
        <v>706</v>
      </c>
      <c r="D181" t="n">
        <v>485</v>
      </c>
    </row>
    <row r="182">
      <c r="A182" t="n">
        <v>179</v>
      </c>
      <c r="B182" t="n">
        <v>2154</v>
      </c>
      <c r="C182" t="n">
        <v>154</v>
      </c>
      <c r="D182" t="n">
        <v>250</v>
      </c>
    </row>
    <row r="183">
      <c r="A183" t="n">
        <v>180</v>
      </c>
      <c r="B183" t="n">
        <v>649</v>
      </c>
      <c r="C183" t="n">
        <v>651</v>
      </c>
      <c r="D183" t="n">
        <v>622</v>
      </c>
    </row>
    <row r="184">
      <c r="A184" t="n">
        <v>181</v>
      </c>
      <c r="B184" t="n">
        <v>2155</v>
      </c>
      <c r="C184" t="n">
        <v>483</v>
      </c>
      <c r="D184" t="n">
        <v>378</v>
      </c>
    </row>
    <row r="185">
      <c r="A185" t="n">
        <v>182</v>
      </c>
      <c r="B185" t="n">
        <v>3234</v>
      </c>
      <c r="C185" t="n">
        <v>497</v>
      </c>
      <c r="D185" t="n">
        <v>577</v>
      </c>
    </row>
    <row r="186">
      <c r="A186" t="n">
        <v>183</v>
      </c>
      <c r="B186" t="n">
        <v>1328</v>
      </c>
      <c r="C186" t="n">
        <v>1317</v>
      </c>
      <c r="D186" t="n">
        <v>501</v>
      </c>
    </row>
    <row r="187">
      <c r="A187" t="n">
        <v>184</v>
      </c>
      <c r="B187" t="n">
        <v>2071</v>
      </c>
      <c r="C187" t="n">
        <v>1121</v>
      </c>
      <c r="D187" t="n">
        <v>168</v>
      </c>
    </row>
    <row r="188">
      <c r="A188" t="n">
        <v>185</v>
      </c>
      <c r="B188" t="n">
        <v>2558</v>
      </c>
      <c r="C188" t="n">
        <v>1381</v>
      </c>
      <c r="D188" t="n">
        <v>547</v>
      </c>
    </row>
    <row r="189">
      <c r="A189" t="n">
        <v>186</v>
      </c>
      <c r="B189" t="n">
        <v>2858</v>
      </c>
      <c r="C189" t="n">
        <v>342</v>
      </c>
      <c r="D189" t="n">
        <v>987</v>
      </c>
    </row>
    <row r="190">
      <c r="A190" t="n">
        <v>187</v>
      </c>
      <c r="B190" t="n">
        <v>3441</v>
      </c>
      <c r="C190" t="n">
        <v>1637</v>
      </c>
      <c r="D190" t="n">
        <v>385</v>
      </c>
    </row>
    <row r="191">
      <c r="A191" t="n">
        <v>188</v>
      </c>
      <c r="B191" t="n">
        <v>3494</v>
      </c>
      <c r="C191" t="n">
        <v>111</v>
      </c>
      <c r="D191" t="n">
        <v>810</v>
      </c>
    </row>
    <row r="192">
      <c r="A192" t="n">
        <v>189</v>
      </c>
      <c r="B192" t="n">
        <v>1428</v>
      </c>
      <c r="C192" t="n">
        <v>1248</v>
      </c>
      <c r="D192" t="n">
        <v>640</v>
      </c>
    </row>
    <row r="193">
      <c r="A193" t="n">
        <v>190</v>
      </c>
      <c r="B193" t="n">
        <v>3215</v>
      </c>
      <c r="C193" t="n">
        <v>1940</v>
      </c>
      <c r="D193" t="n">
        <v>246</v>
      </c>
    </row>
    <row r="194">
      <c r="A194" t="n">
        <v>191</v>
      </c>
      <c r="B194" t="n">
        <v>1173</v>
      </c>
      <c r="C194" t="n">
        <v>1405</v>
      </c>
      <c r="D194" t="n">
        <v>582</v>
      </c>
    </row>
    <row r="195">
      <c r="A195" t="n">
        <v>192</v>
      </c>
      <c r="B195" t="n">
        <v>2968</v>
      </c>
      <c r="C195" t="n">
        <v>964</v>
      </c>
      <c r="D195" t="n">
        <v>298</v>
      </c>
    </row>
    <row r="196">
      <c r="A196" t="n">
        <v>193</v>
      </c>
      <c r="B196" t="n">
        <v>3777</v>
      </c>
      <c r="C196" t="n">
        <v>1549</v>
      </c>
      <c r="D196" t="n">
        <v>992</v>
      </c>
    </row>
    <row r="197">
      <c r="A197" t="n">
        <v>194</v>
      </c>
      <c r="B197" t="n">
        <v>3113</v>
      </c>
      <c r="C197" t="n">
        <v>1814</v>
      </c>
      <c r="D197" t="n">
        <v>751</v>
      </c>
    </row>
    <row r="198">
      <c r="A198" t="n">
        <v>195</v>
      </c>
      <c r="B198" t="n">
        <v>1216</v>
      </c>
      <c r="C198" t="n">
        <v>1739</v>
      </c>
      <c r="D198" t="n">
        <v>914</v>
      </c>
    </row>
    <row r="199">
      <c r="A199" t="n">
        <v>196</v>
      </c>
      <c r="B199" t="n">
        <v>3589</v>
      </c>
      <c r="C199" t="n">
        <v>1369</v>
      </c>
      <c r="D199" t="n">
        <v>245</v>
      </c>
    </row>
    <row r="200">
      <c r="A200" t="n">
        <v>197</v>
      </c>
      <c r="B200" t="n">
        <v>518</v>
      </c>
      <c r="C200" t="n">
        <v>452</v>
      </c>
      <c r="D200" t="n">
        <v>520</v>
      </c>
    </row>
    <row r="201">
      <c r="A201" t="n">
        <v>198</v>
      </c>
      <c r="B201" t="n">
        <v>1522</v>
      </c>
      <c r="C201" t="n">
        <v>1830</v>
      </c>
      <c r="D201" t="n">
        <v>435</v>
      </c>
    </row>
    <row r="202">
      <c r="A202" t="n">
        <v>199</v>
      </c>
      <c r="B202" t="n">
        <v>3513</v>
      </c>
      <c r="C202" t="n">
        <v>1808</v>
      </c>
      <c r="D202" t="n">
        <v>999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Andrzej Jaszkiewicz</dc:creator>
  <dcterms:created xmlns:dcterms="http://purl.org/dc/terms/" xmlns:xsi="http://www.w3.org/2001/XMLSchema-instance" xsi:type="dcterms:W3CDTF">2023-12-05T11:18:46Z</dcterms:created>
  <dcterms:modified xmlns:dcterms="http://purl.org/dc/terms/" xmlns:xsi="http://www.w3.org/2001/XMLSchema-instance" xsi:type="dcterms:W3CDTF">2026-10-16T19:46:34Z</dcterms:modified>
  <cp:lastModifiedBy>Andrzej Jaszkiewicz</cp:lastModifiedBy>
</cp:coreProperties>
</file>